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 outlineLevelCol="0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>
        <f>IF(0+1&lt;=22, INDEX($I$2:$I$23, 0+1), "")</f>
        <v/>
      </c>
      <c r="L2" s="5">
        <f>IF(0+1&lt;=22, INDEX($H$2:$H$23, 0+1), "")</f>
        <v/>
      </c>
      <c r="M2" s="5" t="n"/>
      <c r="N2" s="5">
        <f>IF(0+2&lt;=22, INDEX($I$2:$I$23, 0+2), "")</f>
        <v/>
      </c>
      <c r="O2" s="5">
        <f>IF(0+2&lt;=22, INDEX($H$2:$H$23, 0+2), "")</f>
        <v/>
      </c>
      <c r="P2" s="5" t="n"/>
      <c r="Q2" s="5">
        <f>IF(0+3&lt;=22, INDEX($I$2:$I$23, 0+3), "")</f>
        <v/>
      </c>
      <c r="R2" s="5">
        <f>IF(0+3&lt;=22, INDEX($H$2:$H$23, 0+3), "")</f>
        <v/>
      </c>
      <c r="S2" s="5" t="n"/>
      <c r="T2" s="5">
        <f>IF(0+4&lt;=22, INDEX($I$2:$I$23, 0+4), "")</f>
        <v/>
      </c>
      <c r="U2" s="5">
        <f>IF(0+4&lt;=22, INDEX($H$2:$H$23, 0+4), "")</f>
        <v/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>
        <f>IF(4+1&lt;=22, INDEX($I$2:$I$23, 4+1), "")</f>
        <v/>
      </c>
      <c r="L3" s="5">
        <f>IF(4+1&lt;=22, INDEX($H$2:$H$23, 4+1), "")</f>
        <v/>
      </c>
      <c r="M3" s="5" t="n"/>
      <c r="N3" s="5">
        <f>IF(4+2&lt;=22, INDEX($I$2:$I$23, 4+2), "")</f>
        <v/>
      </c>
      <c r="O3" s="5">
        <f>IF(4+2&lt;=22, INDEX($H$2:$H$23, 4+2), "")</f>
        <v/>
      </c>
      <c r="P3" s="5" t="n"/>
      <c r="Q3" s="5">
        <f>IF(4+3&lt;=22, INDEX($I$2:$I$23, 4+3), "")</f>
        <v/>
      </c>
      <c r="R3" s="5">
        <f>IF(4+3&lt;=22, INDEX($H$2:$H$23, 4+3), "")</f>
        <v/>
      </c>
      <c r="S3" s="5" t="n"/>
      <c r="T3" s="5">
        <f>IF(4+4&lt;=22, INDEX($I$2:$I$23, 4+4), "")</f>
        <v/>
      </c>
      <c r="U3" s="5">
        <f>IF(4+4&lt;=22, INDEX($H$2:$H$23, 4+4), "")</f>
        <v/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>
        <f>IF(8+1&lt;=22, INDEX($I$2:$I$23, 8+1), "")</f>
        <v/>
      </c>
      <c r="L4">
        <f>IF(8+1&lt;=22, INDEX($H$2:$H$23, 8+1), "")</f>
        <v/>
      </c>
      <c r="N4">
        <f>IF(8+2&lt;=22, INDEX($I$2:$I$23, 8+2), "")</f>
        <v/>
      </c>
      <c r="O4">
        <f>IF(8+2&lt;=22, INDEX($H$2:$H$23, 8+2), "")</f>
        <v/>
      </c>
      <c r="Q4">
        <f>IF(8+3&lt;=22, INDEX($I$2:$I$23, 8+3), "")</f>
        <v/>
      </c>
      <c r="R4">
        <f>IF(8+3&lt;=22, INDEX($H$2:$H$23, 8+3), "")</f>
        <v/>
      </c>
      <c r="T4">
        <f>IF(8+4&lt;=22, INDEX($I$2:$I$23, 8+4), "")</f>
        <v/>
      </c>
      <c r="U4">
        <f>IF(8+4&lt;=22, INDEX($H$2:$H$23, 8+4), "")</f>
        <v/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>
        <f>IF(12+1&lt;=22, INDEX($I$2:$I$23, 12+1), "")</f>
        <v/>
      </c>
      <c r="L5">
        <f>IF(12+1&lt;=22, INDEX($H$2:$H$23, 12+1), "")</f>
        <v/>
      </c>
      <c r="N5">
        <f>IF(12+2&lt;=22, INDEX($I$2:$I$23, 12+2), "")</f>
        <v/>
      </c>
      <c r="O5">
        <f>IF(12+2&lt;=22, INDEX($H$2:$H$23, 12+2), "")</f>
        <v/>
      </c>
      <c r="Q5">
        <f>IF(12+3&lt;=22, INDEX($I$2:$I$23, 12+3), "")</f>
        <v/>
      </c>
      <c r="R5">
        <f>IF(12+3&lt;=22, INDEX($H$2:$H$23, 12+3), "")</f>
        <v/>
      </c>
      <c r="T5">
        <f>IF(12+4&lt;=22, INDEX($I$2:$I$23, 12+4), "")</f>
        <v/>
      </c>
      <c r="U5">
        <f>IF(12+4&lt;=22, INDEX($H$2:$H$23, 12+4), "")</f>
        <v/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>
        <f>IF(16+1&lt;=22, INDEX($I$2:$I$23, 16+1), "")</f>
        <v/>
      </c>
      <c r="L6">
        <f>IF(16+1&lt;=22, INDEX($H$2:$H$23, 16+1), "")</f>
        <v/>
      </c>
      <c r="N6">
        <f>IF(16+2&lt;=22, INDEX($I$2:$I$23, 16+2), "")</f>
        <v/>
      </c>
      <c r="O6">
        <f>IF(16+2&lt;=22, INDEX($H$2:$H$23, 16+2), "")</f>
        <v/>
      </c>
      <c r="Q6">
        <f>IF(16+3&lt;=22, INDEX($I$2:$I$23, 16+3), "")</f>
        <v/>
      </c>
      <c r="R6">
        <f>IF(16+3&lt;=22, INDEX($H$2:$H$23, 16+3), "")</f>
        <v/>
      </c>
      <c r="T6">
        <f>IF(16+4&lt;=22, INDEX($I$2:$I$23, 16+4), "")</f>
        <v/>
      </c>
      <c r="U6">
        <f>IF(16+4&lt;=22, INDEX($H$2:$H$23, 16+4), "")</f>
        <v/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>
        <f>IF(20+1&lt;=22, INDEX($I$2:$I$23, 20+1), "")</f>
        <v/>
      </c>
      <c r="L7">
        <f>IF(20+1&lt;=22, INDEX($H$2:$H$23, 20+1), "")</f>
        <v/>
      </c>
      <c r="N7">
        <f>IF(20+2&lt;=22, INDEX($I$2:$I$23, 20+2), "")</f>
        <v/>
      </c>
      <c r="O7">
        <f>IF(20+2&lt;=22, INDEX($H$2:$H$23, 20+2), "")</f>
        <v/>
      </c>
      <c r="Q7">
        <f>IF(20+3&lt;=22, INDEX($I$2:$I$23, 20+3), "")</f>
        <v/>
      </c>
      <c r="R7">
        <f>IF(20+3&lt;=22, INDEX($H$2:$H$23, 20+3), "")</f>
        <v/>
      </c>
      <c r="T7">
        <f>IF(20+4&lt;=22, INDEX($I$2:$I$23, 20+4), "")</f>
        <v/>
      </c>
      <c r="U7">
        <f>IF(20+4&lt;=22, INDEX($H$2:$H$23, 20+4), "")</f>
        <v/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  <c r="K8">
        <f>IF(24+1&lt;=22, INDEX($I$2:$I$23, 24+1), "")</f>
        <v/>
      </c>
      <c r="L8">
        <f>IF(24+1&lt;=22, INDEX($H$2:$H$23, 24+1), "")</f>
        <v/>
      </c>
      <c r="N8">
        <f>IF(24+2&lt;=22, INDEX($I$2:$I$23, 24+2), "")</f>
        <v/>
      </c>
      <c r="O8">
        <f>IF(24+2&lt;=22, INDEX($H$2:$H$23, 24+2), "")</f>
        <v/>
      </c>
      <c r="Q8">
        <f>IF(24+3&lt;=22, INDEX($I$2:$I$23, 24+3), "")</f>
        <v/>
      </c>
      <c r="R8">
        <f>IF(24+3&lt;=22, INDEX($H$2:$H$23, 24+3), "")</f>
        <v/>
      </c>
      <c r="T8">
        <f>IF(24+4&lt;=22, INDEX($I$2:$I$23, 24+4), "")</f>
        <v/>
      </c>
      <c r="U8">
        <f>IF(24+4&lt;=22, INDEX($H$2:$H$23, 24+4), "")</f>
        <v/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  <c r="K9">
        <f>IF(28+1&lt;=22, INDEX($I$2:$I$23, 28+1), "")</f>
        <v/>
      </c>
      <c r="L9">
        <f>IF(28+1&lt;=22, INDEX($H$2:$H$23, 28+1), "")</f>
        <v/>
      </c>
      <c r="N9">
        <f>IF(28+2&lt;=22, INDEX($I$2:$I$23, 28+2), "")</f>
        <v/>
      </c>
      <c r="O9">
        <f>IF(28+2&lt;=22, INDEX($H$2:$H$23, 28+2), "")</f>
        <v/>
      </c>
      <c r="Q9">
        <f>IF(28+3&lt;=22, INDEX($I$2:$I$23, 28+3), "")</f>
        <v/>
      </c>
      <c r="R9">
        <f>IF(28+3&lt;=22, INDEX($H$2:$H$23, 28+3), "")</f>
        <v/>
      </c>
      <c r="T9">
        <f>IF(28+4&lt;=22, INDEX($I$2:$I$23, 28+4), "")</f>
        <v/>
      </c>
      <c r="U9">
        <f>IF(28+4&lt;=22, INDEX($H$2:$H$23, 28+4), "")</f>
        <v/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  <c r="K10">
        <f>IF(32+1&lt;=22, INDEX($I$2:$I$23, 32+1), "")</f>
        <v/>
      </c>
      <c r="L10">
        <f>IF(32+1&lt;=22, INDEX($H$2:$H$23, 32+1), "")</f>
        <v/>
      </c>
      <c r="N10">
        <f>IF(32+2&lt;=22, INDEX($I$2:$I$23, 32+2), "")</f>
        <v/>
      </c>
      <c r="O10">
        <f>IF(32+2&lt;=22, INDEX($H$2:$H$23, 32+2), "")</f>
        <v/>
      </c>
      <c r="Q10">
        <f>IF(32+3&lt;=22, INDEX($I$2:$I$23, 32+3), "")</f>
        <v/>
      </c>
      <c r="R10">
        <f>IF(32+3&lt;=22, INDEX($H$2:$H$23, 32+3), "")</f>
        <v/>
      </c>
      <c r="T10">
        <f>IF(32+4&lt;=22, INDEX($I$2:$I$23, 32+4), "")</f>
        <v/>
      </c>
      <c r="U10">
        <f>IF(32+4&lt;=22, INDEX($H$2:$H$23, 32+4), "")</f>
        <v/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2026-09-05T23:23:30Z</dcterms:modified>
  <cp:lastModifiedBy>user</cp:lastModifiedBy>
</cp:coreProperties>
</file>