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1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RowHeight="15"/>
  <cols>
    <col width="9.5703125" customWidth="1" min="1" max="1"/>
    <col width="16.85546875" customWidth="1" min="2" max="2"/>
    <col width="31.7109375" customWidth="1" min="6" max="6"/>
  </cols>
  <sheetData>
    <row r="1">
      <c r="A1">
        <f>IF(ROW()=1,"Reference",IF(ROW()=2,624515,IF(ROW()=3,"622698J",IF(ROW()=4,624516,IF(ROW()=5,624519,IF(ROW()=6,624521,IF(ROW()=7,624527,IF(ROW()=8,"624806C",""))))))))</f>
        <v/>
      </c>
      <c r="B1">
        <f>IF(ROW()=1,"Date",IF(ROW()=2,"2020-01-10",IF(ROW()=3,"31/10/2020",IF(ROW()=4,"31/10/2020",IF(ROW()=5,"2020-01-11",IF(ROW()=6,"2020-01-12",IF(ROW()=7,"31/01/2021",IF(ROW()=8,"31/12/2021",""))))))))</f>
        <v/>
      </c>
      <c r="C1">
        <f>IF(ROW()=1,"Debit",IF(ROW()&lt;=8,0,""))</f>
        <v/>
      </c>
      <c r="D1">
        <f>IF(ROW()=1,"Credit",IF(ROW()=2,1736.522,IF(ROW()=3,2060,IF(ROW()=4,1855.652,IF(ROW()=5,1960.87,IF(ROW()=6,1348.6,IF(ROW()=7,1399.024,IF(ROW()=8,1820,""))))))))</f>
        <v/>
      </c>
      <c r="E1">
        <f>IF(ROW()=1,"Net Balance",IF(ROW()&lt;=8,INDIRECT("C"&amp;ROW())-INDIRECT("D"&amp;ROW()),""))</f>
        <v/>
      </c>
      <c r="F1">
        <f>IF(ROW()=1,"Narrative",IF(ROW()=2,"JTY02 FI Pol ANNUITY",IF(ROW()=3,"IG VOUCHER Funds received Ref 94230",IF(ROW()=4,"JTY02 FI Pol ANNUITY",IF(ROW()=5,"JTY02 FI Pol ANNUITY",IF(ROW()=6,"JTY02 FI Pol ANNUITY DEC'20",IF(ROW()=7,"JTY02 F&amp;I Pol Annuity",IF(ROW()=8,"IG VOUCHER Funds received Ref 9457",""))))))))</f>
        <v/>
      </c>
    </row>
    <row r="2">
      <c r="A2">
        <f>IF(ROW()=1,"Reference",IF(ROW()=2,624515,IF(ROW()=3,"622698J",IF(ROW()=4,624516,IF(ROW()=5,624519,IF(ROW()=6,624521,IF(ROW()=7,624527,IF(ROW()=8,"624806C",""))))))))</f>
        <v/>
      </c>
      <c r="B2" s="2">
        <f>IF(ROW()=1,"Date",IF(ROW()=2,"2020-01-10",IF(ROW()=3,"31/10/2020",IF(ROW()=4,"31/10/2020",IF(ROW()=5,"2020-01-11",IF(ROW()=6,"2020-01-12",IF(ROW()=7,"31/01/2021",IF(ROW()=8,"31/12/2021",""))))))))</f>
        <v/>
      </c>
      <c r="C2" s="4">
        <f>IF(ROW()=1,"Debit",IF(ROW()&lt;=8,0,""))</f>
        <v/>
      </c>
      <c r="D2" s="4">
        <f>IF(ROW()=1,"Credit",IF(ROW()=2,1736.522,IF(ROW()=3,2060,IF(ROW()=4,1855.652,IF(ROW()=5,1960.87,IF(ROW()=6,1348.6,IF(ROW()=7,1399.024,IF(ROW()=8,1820,""))))))))</f>
        <v/>
      </c>
      <c r="E2" s="4">
        <f>IF(ROW()=1,"Net Balance",IF(ROW()&lt;=8,INDIRECT("C"&amp;ROW())-INDIRECT("D"&amp;ROW()),""))</f>
        <v/>
      </c>
      <c r="F2">
        <f>IF(ROW()=1,"Narrative",IF(ROW()=2,"JTY3 FI Pol ANNUITY",IF(ROW()=3,"IG VOUCHER Funds received Ref 94230",IF(ROW()=4,"JTY3 FI Pol ANNUITY",IF(ROW()=5,"JTY3 FI Pol ANNUITY",IF(ROW()=6,"JTY3 FI Pol ANNUITY DEC'20",IF(ROW()=7,"JTY3 F&amp;I Pol Annuity",IF(ROW()=8,"IG VOUCHER Funds received Ref 9457",""))))))))</f>
        <v/>
      </c>
    </row>
    <row r="3">
      <c r="A3" s="1">
        <f>IF(ROW()=1,"Reference",IF(ROW()=2,624515,IF(ROW()=3,"622698J",IF(ROW()=4,624516,IF(ROW()=5,624519,IF(ROW()=6,624521,IF(ROW()=7,624527,IF(ROW()=8,"624806C",""))))))))</f>
        <v/>
      </c>
      <c r="B3" s="3">
        <f>IF(ROW()=1,"Date",IF(ROW()=2,"2020-01-10",IF(ROW()=3,"31/10/2020",IF(ROW()=4,"31/10/2020",IF(ROW()=5,"2020-01-11",IF(ROW()=6,"2020-01-12",IF(ROW()=7,"31/01/2021",IF(ROW()=8,"31/12/2021",""))))))))</f>
        <v/>
      </c>
      <c r="C3" s="4">
        <f>IF(ROW()=1,"Debit",IF(ROW()&lt;=8,0,""))</f>
        <v/>
      </c>
      <c r="D3" s="4">
        <f>IF(ROW()=1,"Credit",IF(ROW()=2,1736.522,IF(ROW()=3,2060,IF(ROW()=4,1855.652,IF(ROW()=5,1960.87,IF(ROW()=6,1348.6,IF(ROW()=7,1399.024,IF(ROW()=8,1820,""))))))))</f>
        <v/>
      </c>
      <c r="E3" s="4">
        <f>IF(ROW()=1,"Net Balance",IF(ROW()&lt;=8,INDIRECT("C"&amp;ROW())-INDIRECT("D"&amp;ROW()),""))</f>
        <v/>
      </c>
      <c r="F3">
        <f>IF(ROW()=1,"Narrative",IF(ROW()=2,"JTY4 FI Pol ANNUITY",IF(ROW()=3,"IG VOUCHER Funds received Ref 94230",IF(ROW()=4,"JTY4 FI Pol ANNUITY",IF(ROW()=5,"JTY4 FI Pol ANNUITY",IF(ROW()=6,"JTY4 FI Pol ANNUITY DEC'20",IF(ROW()=7,"JTY4 F&amp;I Pol Annuity",IF(ROW()=8,"IG VOUCHER Funds received Ref 9457",""))))))))</f>
        <v/>
      </c>
    </row>
    <row r="4">
      <c r="A4">
        <f>IF(ROW()=1,"Reference",IF(ROW()=2,624515,IF(ROW()=3,"622698J",IF(ROW()=4,624516,IF(ROW()=5,624519,IF(ROW()=6,624521,IF(ROW()=7,624527,IF(ROW()=8,"624806C",""))))))))</f>
        <v/>
      </c>
      <c r="B4" s="3">
        <f>IF(ROW()=1,"Date",IF(ROW()=2,"2020-01-10",IF(ROW()=3,"31/10/2020",IF(ROW()=4,"31/10/2020",IF(ROW()=5,"2020-01-11",IF(ROW()=6,"2020-01-12",IF(ROW()=7,"31/01/2021",IF(ROW()=8,"31/12/2021",""))))))))</f>
        <v/>
      </c>
      <c r="C4" s="4">
        <f>IF(ROW()=1,"Debit",IF(ROW()&lt;=8,0,""))</f>
        <v/>
      </c>
      <c r="D4" s="4">
        <f>IF(ROW()=1,"Credit",IF(ROW()=2,1736.522,IF(ROW()=3,2060,IF(ROW()=4,1855.652,IF(ROW()=5,1960.87,IF(ROW()=6,1348.6,IF(ROW()=7,1399.024,IF(ROW()=8,1820,""))))))))</f>
        <v/>
      </c>
      <c r="E4" s="4">
        <f>IF(ROW()=1,"Net Balance",IF(ROW()&lt;=8,INDIRECT("C"&amp;ROW())-INDIRECT("D"&amp;ROW()),""))</f>
        <v/>
      </c>
      <c r="F4">
        <f>IF(ROW()=1,"Narrative",IF(ROW()=2,"JTY5 FI Pol ANNUITY",IF(ROW()=3,"IG VOUCHER Funds received Ref 94230",IF(ROW()=4,"JTY5 FI Pol ANNUITY",IF(ROW()=5,"JTY5 FI Pol ANNUITY",IF(ROW()=6,"JTY5 FI Pol ANNUITY DEC'20",IF(ROW()=7,"JTY5 F&amp;I Pol Annuity",IF(ROW()=8,"IG VOUCHER Funds received Ref 9457",""))))))))</f>
        <v/>
      </c>
    </row>
    <row r="5">
      <c r="A5">
        <f>IF(ROW()=1,"Reference",IF(ROW()=2,624515,IF(ROW()=3,"622698J",IF(ROW()=4,624516,IF(ROW()=5,624519,IF(ROW()=6,624521,IF(ROW()=7,624527,IF(ROW()=8,"624806C",""))))))))</f>
        <v/>
      </c>
      <c r="B5" s="2">
        <f>IF(ROW()=1,"Date",IF(ROW()=2,"2020-01-10",IF(ROW()=3,"31/10/2020",IF(ROW()=4,"31/10/2020",IF(ROW()=5,"2020-01-11",IF(ROW()=6,"2020-01-12",IF(ROW()=7,"31/01/2021",IF(ROW()=8,"31/12/2021",""))))))))</f>
        <v/>
      </c>
      <c r="C5" s="4">
        <f>IF(ROW()=1,"Debit",IF(ROW()&lt;=8,0,""))</f>
        <v/>
      </c>
      <c r="D5" s="4">
        <f>IF(ROW()=1,"Credit",IF(ROW()=2,1736.522,IF(ROW()=3,2060,IF(ROW()=4,1855.652,IF(ROW()=5,1960.87,IF(ROW()=6,1348.6,IF(ROW()=7,1399.024,IF(ROW()=8,1820,""))))))))</f>
        <v/>
      </c>
      <c r="E5" s="4">
        <f>IF(ROW()=1,"Net Balance",IF(ROW()&lt;=8,INDIRECT("C"&amp;ROW())-INDIRECT("D"&amp;ROW()),""))</f>
        <v/>
      </c>
      <c r="F5">
        <f>IF(ROW()=1,"Narrative",IF(ROW()=2,"JTY6 FI Pol ANNUITY",IF(ROW()=3,"IG VOUCHER Funds received Ref 94230",IF(ROW()=4,"JTY6 FI Pol ANNUITY",IF(ROW()=5,"JTY6 FI Pol ANNUITY",IF(ROW()=6,"JTY6 FI Pol ANNUITY DEC'20",IF(ROW()=7,"JTY6 F&amp;I Pol Annuity",IF(ROW()=8,"IG VOUCHER Funds received Ref 9457",""))))))))</f>
        <v/>
      </c>
    </row>
    <row r="6">
      <c r="A6">
        <f>IF(ROW()=1,"Reference",IF(ROW()=2,624515,IF(ROW()=3,"622698J",IF(ROW()=4,624516,IF(ROW()=5,624519,IF(ROW()=6,624521,IF(ROW()=7,624527,IF(ROW()=8,"624806C",""))))))))</f>
        <v/>
      </c>
      <c r="B6" s="2">
        <f>IF(ROW()=1,"Date",IF(ROW()=2,"2020-01-10",IF(ROW()=3,"31/10/2020",IF(ROW()=4,"31/10/2020",IF(ROW()=5,"2020-01-11",IF(ROW()=6,"2020-01-12",IF(ROW()=7,"31/01/2021",IF(ROW()=8,"31/12/2021",""))))))))</f>
        <v/>
      </c>
      <c r="C6" s="4">
        <f>IF(ROW()=1,"Debit",IF(ROW()&lt;=8,0,""))</f>
        <v/>
      </c>
      <c r="D6" s="4">
        <f>IF(ROW()=1,"Credit",IF(ROW()=2,1736.522,IF(ROW()=3,2060,IF(ROW()=4,1855.652,IF(ROW()=5,1960.87,IF(ROW()=6,1348.6,IF(ROW()=7,1399.024,IF(ROW()=8,1820,""))))))))</f>
        <v/>
      </c>
      <c r="E6" s="4">
        <f>IF(ROW()=1,"Net Balance",IF(ROW()&lt;=8,INDIRECT("C"&amp;ROW())-INDIRECT("D"&amp;ROW()),""))</f>
        <v/>
      </c>
      <c r="F6">
        <f>IF(ROW()=1,"Narrative",IF(ROW()=2,"JTY7 FI Pol ANNUITY",IF(ROW()=3,"IG VOUCHER Funds received Ref 94230",IF(ROW()=4,"JTY7 FI Pol ANNUITY",IF(ROW()=5,"JTY7 FI Pol ANNUITY",IF(ROW()=6,"JTY7 FI Pol ANNUITY DEC'20",IF(ROW()=7,"JTY7 F&amp;I Pol Annuity",IF(ROW()=8,"IG VOUCHER Funds received Ref 9457",""))))))))</f>
        <v/>
      </c>
    </row>
    <row r="7">
      <c r="A7">
        <f>IF(ROW()=1,"Reference",IF(ROW()=2,624515,IF(ROW()=3,"622698J",IF(ROW()=4,624516,IF(ROW()=5,624519,IF(ROW()=6,624521,IF(ROW()=7,624527,IF(ROW()=8,"624806C",""))))))))</f>
        <v/>
      </c>
      <c r="B7" s="2">
        <f>IF(ROW()=1,"Date",IF(ROW()=2,"2020-01-10",IF(ROW()=3,"31/10/2020",IF(ROW()=4,"31/10/2020",IF(ROW()=5,"2020-01-11",IF(ROW()=6,"2020-01-12",IF(ROW()=7,"31/01/2021",IF(ROW()=8,"31/12/2021",""))))))))</f>
        <v/>
      </c>
      <c r="C7" s="4">
        <f>IF(ROW()=1,"Debit",IF(ROW()&lt;=8,0,""))</f>
        <v/>
      </c>
      <c r="D7" s="4">
        <f>IF(ROW()=1,"Credit",IF(ROW()=2,1736.522,IF(ROW()=3,2060,IF(ROW()=4,1855.652,IF(ROW()=5,1960.87,IF(ROW()=6,1348.6,IF(ROW()=7,1399.024,IF(ROW()=8,1820,""))))))))</f>
        <v/>
      </c>
      <c r="E7" s="4">
        <f>IF(ROW()=1,"Net Balance",IF(ROW()&lt;=8,INDIRECT("C"&amp;ROW())-INDIRECT("D"&amp;ROW()),""))</f>
        <v/>
      </c>
      <c r="F7">
        <f>IF(ROW()=1,"Narrative",IF(ROW()=2,"JTY8 FI Pol ANNUITY",IF(ROW()=3,"IG VOUCHER Funds received Ref 94230",IF(ROW()=4,"JTY8 FI Pol ANNUITY",IF(ROW()=5,"JTY8 FI Pol ANNUITY",IF(ROW()=6,"JTY8 FI Pol ANNUITY DEC'20",IF(ROW()=7,"JTY8 F&amp;I Pol Annuity",IF(ROW()=8,"IG VOUCHER Funds received Ref 9457",""))))))))</f>
        <v/>
      </c>
    </row>
    <row r="8">
      <c r="A8">
        <f>IF(ROW()=1,"Reference",IF(ROW()=2,624515,IF(ROW()=3,"622698J",IF(ROW()=4,624516,IF(ROW()=5,624519,IF(ROW()=6,624521,IF(ROW()=7,624527,IF(ROW()=8,"624806C",""))))))))</f>
        <v/>
      </c>
      <c r="B8" s="2">
        <f>IF(ROW()=1,"Date",IF(ROW()=2,"2020-01-10",IF(ROW()=3,"31/10/2020",IF(ROW()=4,"31/10/2020",IF(ROW()=5,"2020-01-11",IF(ROW()=6,"2020-01-12",IF(ROW()=7,"31/01/2021",IF(ROW()=8,"31/12/2021",""))))))))</f>
        <v/>
      </c>
      <c r="C8" s="4">
        <f>IF(ROW()=1,"Debit",IF(ROW()&lt;=8,0,""))</f>
        <v/>
      </c>
      <c r="D8" s="4">
        <f>IF(ROW()=1,"Credit",IF(ROW()=2,1736.522,IF(ROW()=3,2060,IF(ROW()=4,1855.652,IF(ROW()=5,1960.87,IF(ROW()=6,1348.6,IF(ROW()=7,1399.024,IF(ROW()=8,1820,""))))))))</f>
        <v/>
      </c>
      <c r="E8" s="4">
        <f>IF(ROW()=1,"Net Balance",IF(ROW()&lt;=8,INDIRECT("C"&amp;ROW())-INDIRECT("D"&amp;ROW()),""))</f>
        <v/>
      </c>
      <c r="F8">
        <f>IF(ROW()=1,"Narrative",IF(ROW()=2,"JTY9 FI Pol ANNUITY",IF(ROW()=3,"IG VOUCHER Funds received Ref 94230",IF(ROW()=4,"JTY9 FI Pol ANNUITY",IF(ROW()=5,"JTY9 FI Pol ANNUITY",IF(ROW()=6,"JTY9 FI Pol ANNUITY DEC'20",IF(ROW()=7,"JTY9 F&amp;I Pol Annuity",IF(ROW()=8,"IG VOUCHER Funds received Ref 9457",""))))))))</f>
        <v/>
      </c>
    </row>
    <row r="9">
      <c r="A9">
        <f>IF(ROW()=1,"Reference",IF(ROW()=2,624515,IF(ROW()=3,"622698J",IF(ROW()=4,624516,IF(ROW()=5,624519,IF(ROW()=6,624521,IF(ROW()=7,624527,IF(ROW()=8,"624806C",""))))))))</f>
        <v/>
      </c>
      <c r="B9" s="3">
        <f>IF(ROW()=1,"Date",IF(ROW()=2,"2020-01-10",IF(ROW()=3,"31/10/2020",IF(ROW()=4,"31/10/2020",IF(ROW()=5,"2020-01-11",IF(ROW()=6,"2020-01-12",IF(ROW()=7,"31/01/2021",IF(ROW()=8,"31/12/2021",""))))))))</f>
        <v/>
      </c>
      <c r="C9" s="4">
        <f>IF(ROW()=1,"Debit",IF(ROW()&lt;=8,0,""))</f>
        <v/>
      </c>
      <c r="D9" s="4">
        <f>IF(ROW()=1,"Credit",IF(ROW()=2,1736.522,IF(ROW()=3,2060,IF(ROW()=4,1855.652,IF(ROW()=5,1960.87,IF(ROW()=6,1348.6,IF(ROW()=7,1399.024,IF(ROW()=8,1820,""))))))))</f>
        <v/>
      </c>
      <c r="E9" s="4">
        <f>IF(ROW()=1,"Net Balance",IF(ROW()&lt;=8,INDIRECT("C"&amp;ROW())-INDIRECT("D"&amp;ROW()),""))</f>
        <v/>
      </c>
      <c r="F9">
        <f>IF(ROW()=1,"Narrative",IF(ROW()=2,"JTY10 FI Pol ANNUITY",IF(ROW()=3,"IG VOUCHER Funds received Ref 94230",IF(ROW()=4,"JTY10 FI Pol ANNUITY",IF(ROW()=5,"JTY10 FI Pol ANNUITY",IF(ROW()=6,"JTY10 FI Pol ANNUITY DEC'20",IF(ROW()=7,"JTY10 F&amp;I Pol Annuity",IF(ROW()=8,"IG VOUCHER Funds received Ref 9457",""))))))))</f>
        <v/>
      </c>
    </row>
    <row r="10">
      <c r="A10" s="1">
        <f>IF(ROW()=1,"Reference",IF(ROW()=2,624515,IF(ROW()=3,"622698J",IF(ROW()=4,624516,IF(ROW()=5,624519,IF(ROW()=6,624521,IF(ROW()=7,624527,IF(ROW()=8,"624806C",""))))))))</f>
        <v/>
      </c>
      <c r="B10" s="3">
        <f>IF(ROW()=1,"Date",IF(ROW()=2,"2020-01-10",IF(ROW()=3,"31/10/2020",IF(ROW()=4,"31/10/2020",IF(ROW()=5,"2020-01-11",IF(ROW()=6,"2020-01-12",IF(ROW()=7,"31/01/2021",IF(ROW()=8,"31/12/2021",""))))))))</f>
        <v/>
      </c>
      <c r="C10" s="4">
        <f>IF(ROW()=1,"Debit",IF(ROW()&lt;=8,0,""))</f>
        <v/>
      </c>
      <c r="D10" s="4">
        <f>IF(ROW()=1,"Credit",IF(ROW()=2,1736.522,IF(ROW()=3,2060,IF(ROW()=4,1855.652,IF(ROW()=5,1960.87,IF(ROW()=6,1348.6,IF(ROW()=7,1399.024,IF(ROW()=8,1820,""))))))))</f>
        <v/>
      </c>
      <c r="E10" s="4">
        <f>IF(ROW()=1,"Net Balance",IF(ROW()&lt;=8,INDIRECT("C"&amp;ROW())-INDIRECT("D"&amp;ROW()),""))</f>
        <v/>
      </c>
      <c r="F10">
        <f>IF(ROW()=1,"Narrative",IF(ROW()=2,"JTY11 FI Pol ANNUITY",IF(ROW()=3,"IG VOUCHER Funds received Ref 94230",IF(ROW()=4,"JTY11 FI Pol ANNUITY",IF(ROW()=5,"JTY11 FI Pol ANNUITY",IF(ROW()=6,"JTY11 FI Pol ANNUITY DEC'20",IF(ROW()=7,"JTY11 F&amp;I Pol Annuity",IF(ROW()=8,"IG VOUCHER Funds received Ref 9457",""))))))))</f>
        <v/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2021-02-23T14:42:16Z</dcterms:created>
  <dcterms:modified xmlns:dcterms="http://purl.org/dc/terms/" xmlns:xsi="http://www.w3.org/2001/XMLSchema-instance" xsi:type="dcterms:W3CDTF">2026-09-06T10:30:01Z</dcterms:modified>
  <cp:lastModifiedBy>Windows User</cp:lastModifiedBy>
</cp:coreProperties>
</file>