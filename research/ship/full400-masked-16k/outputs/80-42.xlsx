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30" yWindow="630" windowWidth="14830" windowHeight="9450" tabRatio="600" firstSheet="0" activeTab="0" autoFilterDateGrouping="1"/>
  </bookViews>
  <sheets>
    <sheet xmlns:r="http://schemas.openxmlformats.org/officeDocument/2006/relationships" name="Consolidate_ALL" sheetId="1" state="visible" r:id="rId1"/>
    <sheet xmlns:r="http://schemas.openxmlformats.org/officeDocument/2006/relationships" name="Jack" sheetId="2" state="visible" r:id="rId2"/>
    <sheet xmlns:r="http://schemas.openxmlformats.org/officeDocument/2006/relationships" name="Henry" sheetId="3" state="visible" r:id="rId3"/>
    <sheet xmlns:r="http://schemas.openxmlformats.org/officeDocument/2006/relationships"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horizontal="left" vertical="top"/>
    </xf>
    <xf numFmtId="0" fontId="1" fillId="0" borderId="0" pivotButton="0" quotePrefix="0" xfId="1"/>
    <xf numFmtId="14" fontId="1" fillId="0" borderId="0" pivotButton="0" quotePrefix="0" xfId="1"/>
    <xf numFmtId="1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left" vertical="top"/>
    </xf>
    <xf numFmtId="0" fontId="2" fillId="2" borderId="0" pivotButton="0" quotePrefix="0" xfId="1"/>
    <xf numFmtId="0" fontId="0" fillId="2" borderId="0" pivotButton="0" quotePrefix="0" xfId="0"/>
    <xf numFmtId="0" fontId="2" fillId="4" borderId="0" pivotButton="0" quotePrefix="0" xfId="1"/>
    <xf numFmtId="14" fontId="0" fillId="5" borderId="0" pivotButton="0" quotePrefix="0" xfId="0"/>
    <xf numFmtId="0" fontId="1" fillId="5" borderId="0" pivotButton="0" quotePrefix="0" xfId="1"/>
    <xf numFmtId="0" fontId="3" fillId="5" borderId="0" applyAlignment="1" pivotButton="0" quotePrefix="0" xfId="0">
      <alignment horizontal="left" vertical="top"/>
    </xf>
    <xf numFmtId="164" fontId="0" fillId="3" borderId="0" pivotButton="0" quotePrefix="0" xfId="0"/>
    <xf numFmtId="0" fontId="1" fillId="3" borderId="0" pivotButton="0" quotePrefix="0" xfId="1"/>
    <xf numFmtId="0" fontId="3" fillId="3" borderId="0" applyAlignment="1" pivotButton="0" quotePrefix="0" xfId="0">
      <alignment horizontal="left" vertical="top"/>
    </xf>
    <xf numFmtId="0" fontId="2" fillId="3" borderId="0" pivotButton="0" quotePrefix="0" xfId="1"/>
    <xf numFmtId="164" fontId="0" fillId="3" borderId="0" pivotButton="0" quotePrefix="0" xfId="0"/>
    <xf numFmtId="164" fontId="0" fillId="0" borderId="0" pivotButton="0" quotePrefix="0" xfId="0"/>
  </cellXfs>
  <cellStyles count="2">
    <cellStyle name="常规" xfId="0" builtinId="0"/>
    <cellStyle name="Normal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00"/>
  <sheetViews>
    <sheetView tabSelected="1" topLeftCell="A1987" zoomScale="85" zoomScaleNormal="85" workbookViewId="0">
      <selection activeCell="I1994" sqref="I1994"/>
    </sheetView>
  </sheetViews>
  <sheetFormatPr baseColWidth="8" defaultRowHeight="14" outlineLevelCol="0"/>
  <cols>
    <col width="10.4140625" bestFit="1" customWidth="1" min="1" max="1"/>
    <col width="25.9140625" customWidth="1" min="3" max="3"/>
  </cols>
  <sheetData>
    <row r="1">
      <c r="A1" s="9" t="inlineStr">
        <is>
          <t>Date</t>
        </is>
      </c>
      <c r="B1" s="7" t="inlineStr">
        <is>
          <t>Name</t>
        </is>
      </c>
      <c r="C1" s="8" t="inlineStr">
        <is>
          <t>Description</t>
        </is>
      </c>
      <c r="D1" s="8" t="inlineStr">
        <is>
          <t>Parent Node</t>
        </is>
      </c>
      <c r="E1" s="8" t="inlineStr">
        <is>
          <t>Parent Description</t>
        </is>
      </c>
      <c r="F1" s="8" t="inlineStr">
        <is>
          <t>CC External Code</t>
        </is>
      </c>
      <c r="G1" s="8" t="inlineStr">
        <is>
          <t>Available in CORE</t>
        </is>
      </c>
      <c r="H1" s="8" t="inlineStr">
        <is>
          <t>OAL CC Type</t>
        </is>
      </c>
      <c r="I1" s="8" t="inlineStr">
        <is>
          <t>CC Default for LOB</t>
        </is>
      </c>
      <c r="J1" s="8" t="inlineStr">
        <is>
          <t>CC Fiscal Recharge Owner</t>
        </is>
      </c>
      <c r="K1" s="8" t="inlineStr">
        <is>
          <t>Ancestor List</t>
        </is>
      </c>
      <c r="L1" s="17" t="inlineStr">
        <is>
          <t>Sheet Name</t>
        </is>
      </c>
    </row>
    <row r="2">
      <c r="A2" s="5">
        <f>IF(ROW()&lt;=2000,Jack!A(ROW()),IF(ROW()&lt;=3000,Henry!A(ROW()-1999),IF(ROW()&lt;=3999,Richard!A(ROW()-2999),"")))</f>
        <v/>
      </c>
      <c r="B2" s="2">
        <f>IF(ROW()&lt;=2000,Jack!C(ROW()),IF(ROW()&lt;=3000,Henry!C(ROW()-1999),IF(ROW()&lt;=3999,Richard!C(ROW()-2999),"")))</f>
        <v/>
      </c>
      <c r="C2" s="3">
        <f>IF(ROW()&lt;=2000,Jack!D(ROW()),IF(ROW()&lt;=3000,Henry!D(ROW()-1999),IF(ROW()&lt;=3999,Richard!D(ROW()-2999),"")))</f>
        <v/>
      </c>
      <c r="D2" s="3">
        <f>IF(ROW()&lt;=2000,Jack!E(ROW()),IF(ROW()&lt;=3000,Henry!E(ROW()-1999),IF(ROW()&lt;=3999,Richard!E(ROW()-2999),"")))</f>
        <v/>
      </c>
      <c r="E2" s="3">
        <f>IF(ROW()&lt;=2000,Jack!F(ROW()),IF(ROW()&lt;=3000,Henry!F(ROW()-1999),IF(ROW()&lt;=3999,Richard!F(ROW()-2999),"")))</f>
        <v/>
      </c>
      <c r="F2" s="3">
        <f>IF(ROW()&lt;=2000,Jack!G(ROW()),IF(ROW()&lt;=3000,Henry!G(ROW()-1999),IF(ROW()&lt;=3999,Richard!G(ROW()-2999),"")))</f>
        <v/>
      </c>
      <c r="G2" s="3">
        <f>IF(ROW()&lt;=2000,Jack!N(ROW()),IF(ROW()&lt;=3000,Henry!N(ROW()-1999),IF(ROW()&lt;=3999,Richard!N(ROW()-2999),"")))</f>
        <v/>
      </c>
      <c r="H2" s="3">
        <f>IF(ROW()&lt;=2000,Jack!O(ROW()),IF(ROW()&lt;=3000,Henry!O(ROW()-1999),IF(ROW()&lt;=3999,Richard!O(ROW()-2999),"")))</f>
        <v/>
      </c>
      <c r="I2" s="3">
        <f>IF(ROW()&lt;=2000,Jack!P(ROW()),IF(ROW()&lt;=3000,Henry!P(ROW()-1999),IF(ROW()&lt;=3999,Richard!P(ROW()-2999),"")))</f>
        <v/>
      </c>
      <c r="J2" s="3">
        <f>IF(ROW()&lt;=2000,Jack!Q(ROW()),IF(ROW()&lt;=3000,Henry!Q(ROW()-1999),IF(ROW()&lt;=3999,Richard!Q(ROW()-2999),"")))</f>
        <v/>
      </c>
      <c r="K2" s="3">
        <f>IF(ROW()&lt;=2000,Jack!R(ROW()),IF(ROW()&lt;=3000,Henry!R(ROW()-1999),IF(ROW()&lt;=3999,Richard!R(ROW()-2999),"")))</f>
        <v/>
      </c>
      <c r="L2">
        <f>IF(ROW()&lt;=2000,"Jack",IF(ROW()&lt;=3000,"Henry",IF(ROW()&lt;=3999,"Richard","")))</f>
        <v/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0"/>
  <sheetViews>
    <sheetView topLeftCell="I1986" workbookViewId="0">
      <selection activeCell="N1994" sqref="N1994"/>
    </sheetView>
  </sheetViews>
  <sheetFormatPr baseColWidth="8" defaultRowHeight="14" outlineLevelCol="0"/>
  <cols>
    <col width="10.4140625" bestFit="1" customWidth="1" min="1" max="1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selection activeCell="I3" sqref="I3"/>
    </sheetView>
  </sheetViews>
  <sheetFormatPr baseColWidth="8" defaultRowHeight="14" outlineLevelCol="0"/>
  <cols>
    <col width="10.4140625" bestFit="1" customWidth="1" min="1" max="1"/>
    <col width="15.5" customWidth="1" min="8" max="8"/>
    <col width="14.582031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K5" sqref="K5"/>
    </sheetView>
  </sheetViews>
  <sheetFormatPr baseColWidth="8" defaultRowHeight="14" outlineLevelCol="0"/>
  <cols>
    <col width="10.4140625" bestFit="1" customWidth="1" style="19" min="1" max="1"/>
    <col width="17.6640625" customWidth="1" min="8" max="8"/>
    <col width="16.91406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19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</row>
    <row r="3">
      <c r="A3" s="19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</row>
    <row r="4">
      <c r="A4" s="19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</row>
    <row r="5">
      <c r="A5" s="19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</row>
    <row r="6">
      <c r="A6" s="19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</row>
    <row r="7">
      <c r="A7" s="19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</row>
    <row r="8">
      <c r="A8" s="19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</row>
    <row r="9">
      <c r="A9" s="19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</row>
    <row r="10">
      <c r="A10" s="19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</row>
    <row r="11">
      <c r="A11" s="19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</row>
    <row r="12">
      <c r="A12" s="19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</row>
    <row r="13">
      <c r="A13" s="19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</row>
    <row r="14">
      <c r="A14" s="19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</row>
    <row r="15">
      <c r="A15" s="19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</row>
    <row r="16">
      <c r="A16" s="19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</row>
    <row r="17">
      <c r="A17" s="19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</row>
    <row r="18">
      <c r="A18" s="19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</row>
    <row r="19">
      <c r="A19" s="19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</row>
    <row r="20">
      <c r="A20" s="19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</row>
    <row r="21">
      <c r="A21" s="19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</row>
    <row r="22">
      <c r="A22" s="19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</row>
    <row r="23">
      <c r="A23" s="19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</row>
    <row r="24">
      <c r="A24" s="19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</row>
    <row r="25">
      <c r="A25" s="19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</row>
    <row r="26">
      <c r="A26" s="19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</row>
    <row r="27">
      <c r="A27" s="19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</row>
    <row r="28">
      <c r="A28" s="19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</row>
    <row r="29">
      <c r="A29" s="19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</row>
    <row r="30">
      <c r="A30" s="19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</row>
    <row r="31">
      <c r="A31" s="19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</row>
    <row r="32">
      <c r="A32" s="19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</row>
    <row r="33">
      <c r="A33" s="19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</row>
    <row r="34">
      <c r="A34" s="19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</row>
    <row r="35">
      <c r="A35" s="19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</row>
    <row r="36">
      <c r="A36" s="19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</row>
    <row r="37">
      <c r="A37" s="19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</row>
    <row r="38">
      <c r="A38" s="19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</row>
    <row r="39">
      <c r="A39" s="19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</row>
    <row r="40">
      <c r="A40" s="19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</row>
    <row r="41">
      <c r="A41" s="19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</row>
    <row r="42">
      <c r="A42" s="19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</row>
    <row r="43">
      <c r="A43" s="19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</row>
    <row r="44">
      <c r="A44" s="19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</row>
    <row r="45">
      <c r="A45" s="19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</row>
    <row r="46">
      <c r="A46" s="19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</row>
    <row r="47">
      <c r="A47" s="19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</row>
    <row r="48">
      <c r="A48" s="19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</row>
    <row r="49">
      <c r="A49" s="19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</row>
    <row r="50">
      <c r="A50" s="19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</row>
    <row r="51">
      <c r="A51" s="19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</row>
    <row r="52">
      <c r="A52" s="19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</row>
    <row r="53">
      <c r="A53" s="19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</row>
    <row r="54">
      <c r="A54" s="19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</row>
    <row r="55">
      <c r="A55" s="19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</row>
    <row r="56">
      <c r="A56" s="19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</row>
    <row r="57">
      <c r="A57" s="19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</row>
    <row r="58">
      <c r="A58" s="19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</row>
    <row r="59">
      <c r="A59" s="19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</row>
    <row r="60">
      <c r="A60" s="19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</row>
    <row r="61">
      <c r="A61" s="19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</row>
    <row r="62">
      <c r="A62" s="19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</row>
    <row r="63">
      <c r="A63" s="19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</row>
    <row r="64">
      <c r="A64" s="19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</row>
    <row r="65">
      <c r="A65" s="19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</row>
    <row r="66">
      <c r="A66" s="19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</row>
    <row r="67">
      <c r="A67" s="19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</row>
    <row r="68">
      <c r="A68" s="19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</row>
    <row r="69">
      <c r="A69" s="19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</row>
    <row r="70">
      <c r="A70" s="19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</row>
    <row r="71">
      <c r="A71" s="19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</row>
    <row r="72">
      <c r="A72" s="19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</row>
    <row r="73">
      <c r="A73" s="19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</row>
    <row r="74">
      <c r="A74" s="19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</row>
    <row r="75">
      <c r="A75" s="19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</row>
    <row r="76">
      <c r="A76" s="19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</row>
    <row r="77">
      <c r="A77" s="19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</row>
    <row r="78">
      <c r="A78" s="19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</row>
    <row r="79">
      <c r="A79" s="19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</row>
    <row r="80">
      <c r="A80" s="19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</row>
    <row r="81">
      <c r="A81" s="19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</row>
    <row r="82">
      <c r="A82" s="19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</row>
    <row r="83">
      <c r="A83" s="19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</row>
    <row r="84">
      <c r="A84" s="19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</row>
    <row r="85">
      <c r="A85" s="19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</row>
    <row r="86">
      <c r="A86" s="19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</row>
    <row r="87">
      <c r="A87" s="19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</row>
    <row r="88">
      <c r="A88" s="19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</row>
    <row r="89">
      <c r="A89" s="19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</row>
    <row r="90">
      <c r="A90" s="19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</row>
    <row r="91">
      <c r="A91" s="19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</row>
    <row r="92">
      <c r="A92" s="19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</row>
    <row r="93">
      <c r="A93" s="19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</row>
    <row r="94">
      <c r="A94" s="19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</row>
    <row r="95">
      <c r="A95" s="19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</row>
    <row r="96">
      <c r="A96" s="19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</row>
    <row r="97">
      <c r="A97" s="19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</row>
    <row r="98">
      <c r="A98" s="19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</row>
    <row r="99">
      <c r="A99" s="19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</row>
    <row r="100">
      <c r="A100" s="19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</row>
    <row r="101">
      <c r="A101" s="19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</row>
    <row r="102">
      <c r="A102" s="19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</row>
    <row r="103">
      <c r="A103" s="19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</row>
    <row r="104">
      <c r="A104" s="19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</row>
    <row r="105">
      <c r="A105" s="19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</row>
    <row r="106">
      <c r="A106" s="19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</row>
    <row r="107">
      <c r="A107" s="19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</row>
    <row r="108">
      <c r="A108" s="19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</row>
    <row r="109">
      <c r="A109" s="19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</row>
    <row r="110">
      <c r="A110" s="19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</row>
    <row r="111">
      <c r="A111" s="19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</row>
    <row r="112">
      <c r="A112" s="19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</row>
    <row r="113">
      <c r="A113" s="19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</row>
    <row r="114">
      <c r="A114" s="19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</row>
    <row r="115">
      <c r="A115" s="19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</row>
    <row r="116">
      <c r="A116" s="19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</row>
    <row r="117">
      <c r="A117" s="19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</row>
    <row r="118">
      <c r="A118" s="19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</row>
    <row r="119">
      <c r="A119" s="19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</row>
    <row r="120">
      <c r="A120" s="19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</row>
    <row r="121">
      <c r="A121" s="19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</row>
    <row r="122">
      <c r="A122" s="19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</row>
    <row r="123">
      <c r="A123" s="19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</row>
    <row r="124">
      <c r="A124" s="19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</row>
    <row r="125">
      <c r="A125" s="19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</row>
    <row r="126">
      <c r="A126" s="19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</row>
    <row r="127">
      <c r="A127" s="19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</row>
    <row r="128">
      <c r="A128" s="19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</row>
    <row r="129">
      <c r="A129" s="19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</row>
    <row r="130">
      <c r="A130" s="19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</row>
    <row r="131">
      <c r="A131" s="19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</row>
    <row r="132">
      <c r="A132" s="19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</row>
    <row r="133">
      <c r="A133" s="19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</row>
    <row r="134">
      <c r="A134" s="19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</row>
    <row r="135">
      <c r="A135" s="19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</row>
    <row r="136">
      <c r="A136" s="19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</row>
    <row r="137">
      <c r="A137" s="19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</row>
    <row r="138">
      <c r="A138" s="19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</row>
    <row r="139">
      <c r="A139" s="19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</row>
    <row r="140">
      <c r="A140" s="19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</row>
    <row r="141">
      <c r="A141" s="19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</row>
    <row r="142">
      <c r="A142" s="19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</row>
    <row r="143">
      <c r="A143" s="19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</row>
    <row r="144">
      <c r="A144" s="19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</row>
    <row r="145">
      <c r="A145" s="19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</row>
    <row r="146">
      <c r="A146" s="19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</row>
    <row r="147">
      <c r="A147" s="19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</row>
    <row r="148">
      <c r="A148" s="19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</row>
    <row r="149">
      <c r="A149" s="19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</row>
    <row r="150">
      <c r="A150" s="19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</row>
    <row r="151">
      <c r="A151" s="19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</row>
    <row r="152">
      <c r="A152" s="19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</row>
    <row r="153">
      <c r="A153" s="19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</row>
    <row r="154">
      <c r="A154" s="19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</row>
    <row r="155">
      <c r="A155" s="19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</row>
    <row r="156">
      <c r="A156" s="19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</row>
    <row r="157">
      <c r="A157" s="19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</row>
    <row r="158">
      <c r="A158" s="19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</row>
    <row r="159">
      <c r="A159" s="19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</row>
    <row r="160">
      <c r="A160" s="19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</row>
    <row r="161">
      <c r="A161" s="19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</row>
    <row r="162">
      <c r="A162" s="19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</row>
    <row r="163">
      <c r="A163" s="19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</row>
    <row r="164">
      <c r="A164" s="19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</row>
    <row r="165">
      <c r="A165" s="19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</row>
    <row r="166">
      <c r="A166" s="19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</row>
    <row r="167">
      <c r="A167" s="19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</row>
    <row r="168">
      <c r="A168" s="19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</row>
    <row r="169">
      <c r="A169" s="19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</row>
    <row r="170">
      <c r="A170" s="19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</row>
    <row r="171">
      <c r="A171" s="19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</row>
    <row r="172">
      <c r="A172" s="19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</row>
    <row r="173">
      <c r="A173" s="19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</row>
    <row r="174">
      <c r="A174" s="19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</row>
    <row r="175">
      <c r="A175" s="19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</row>
    <row r="176">
      <c r="A176" s="19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</row>
    <row r="177">
      <c r="A177" s="19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</row>
    <row r="178">
      <c r="A178" s="19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</row>
    <row r="179">
      <c r="A179" s="19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</row>
    <row r="180">
      <c r="A180" s="19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</row>
    <row r="181">
      <c r="A181" s="19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</row>
    <row r="182">
      <c r="A182" s="19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</row>
    <row r="183">
      <c r="A183" s="19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</row>
    <row r="184">
      <c r="A184" s="19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</row>
    <row r="185">
      <c r="A185" s="19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</row>
    <row r="186">
      <c r="A186" s="19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</row>
    <row r="187">
      <c r="A187" s="19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</row>
    <row r="188">
      <c r="A188" s="19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</row>
    <row r="189">
      <c r="A189" s="19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</row>
    <row r="190">
      <c r="A190" s="19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</row>
    <row r="191">
      <c r="A191" s="19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</row>
    <row r="192">
      <c r="A192" s="19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</row>
    <row r="193">
      <c r="A193" s="19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</row>
    <row r="194">
      <c r="A194" s="19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</row>
    <row r="195">
      <c r="A195" s="19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</row>
    <row r="196">
      <c r="A196" s="19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</row>
    <row r="197">
      <c r="A197" s="19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</row>
    <row r="198">
      <c r="A198" s="19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</row>
    <row r="199">
      <c r="A199" s="19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</row>
    <row r="200">
      <c r="A200" s="19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19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19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19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19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19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19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19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19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19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19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19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19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19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19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19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19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19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19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19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19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19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19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19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19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19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19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19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19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19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19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19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19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19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19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19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19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19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19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19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19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19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19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19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19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19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19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19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19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19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19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19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19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19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19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19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19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19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19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19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19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19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19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19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19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19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19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19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19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19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19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19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19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19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19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19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19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19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19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19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19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19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19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19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19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19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19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19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19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19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19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19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19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19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19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19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19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19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19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19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19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19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19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19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19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19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19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19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19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19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19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19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19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19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19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19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19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19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19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19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19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19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19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19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19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19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19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19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19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19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19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19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19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19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19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19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19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19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19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19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19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19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19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19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19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19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19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19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19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19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19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19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19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19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19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19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19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19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19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19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19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19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19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19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19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19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19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19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19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19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19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19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19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19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19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19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19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19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19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19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19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19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19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19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19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19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19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19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19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19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19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19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19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19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19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19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19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19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19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19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19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19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19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19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19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19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19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19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19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19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19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19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19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19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19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19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19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19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19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19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19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19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19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19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19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19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19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19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19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19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19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19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19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19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19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19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19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19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19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19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19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19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19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19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19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19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19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19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19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19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19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19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19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19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19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19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19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19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19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19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19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19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19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19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19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19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19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19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19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19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19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19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19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19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19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19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19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19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19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19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19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19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19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19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19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19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19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19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19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19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19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19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19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19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19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19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19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19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19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19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19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19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19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19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19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19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19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19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19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19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19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19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19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19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19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19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19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19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19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19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19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19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19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19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19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19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19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19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19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19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19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19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19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19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19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19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19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19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19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19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19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19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19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19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19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19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19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19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19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19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19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19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19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19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19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19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19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19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19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19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19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19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19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19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19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19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19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19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19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19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19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19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19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19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19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19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19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19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19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19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19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19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19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19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19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19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19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19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19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19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19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19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19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19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19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19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19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19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19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19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19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19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19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19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19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19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19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19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19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19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19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19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19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19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19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19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19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19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19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19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19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19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19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19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19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19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19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19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19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19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19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19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19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19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19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19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19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19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19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19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19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19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19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19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19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19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19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19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19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19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19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19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19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19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19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19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19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19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19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19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19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19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19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19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19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19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19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19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19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19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19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19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19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19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19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19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19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19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19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19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19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19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19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19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19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19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19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19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19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19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19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19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19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19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19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19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19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19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19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19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19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19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19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19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19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19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19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19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19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19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19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19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19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19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19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19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19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19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19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19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19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19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19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19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19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19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19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19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19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19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19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19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19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19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19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19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19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19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19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19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19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19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19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19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19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19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19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19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19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19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19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19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19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19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19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19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19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19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19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19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19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19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19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19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19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19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19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19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19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19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19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19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19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19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19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19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19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19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19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19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19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19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19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19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19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19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19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19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19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19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19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19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19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19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19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19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19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19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19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19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19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19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19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19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19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19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19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19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19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19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19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19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19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19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19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19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19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19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19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19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19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19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19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19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19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19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19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19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19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19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19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19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19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19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19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19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19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19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19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19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19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19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19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19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19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19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19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19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19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19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19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19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19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19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19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19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19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19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19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19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19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19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19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19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19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19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19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19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19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19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19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19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19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19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19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19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19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19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19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19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19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19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19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19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19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19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19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19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19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19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19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19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19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19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19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19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19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19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19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19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19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19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19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19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19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19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19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19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19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19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19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19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19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19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19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19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19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19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19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19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19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19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19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19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19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19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19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19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19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19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19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19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19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19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19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19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19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19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19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19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19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19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19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19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19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19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19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19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19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19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19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19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19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19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19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19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19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19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19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19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19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19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19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19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19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19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19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19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19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19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19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19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19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19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19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19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19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19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19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19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19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19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19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19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19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19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19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19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19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19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19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19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19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19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19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19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19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19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19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19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19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19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2023-07-12T13:13:05Z</dcterms:created>
  <dcterms:modified xmlns:dcterms="http://purl.org/dc/terms/" xmlns:xsi="http://www.w3.org/2001/XMLSchema-instance" xsi:type="dcterms:W3CDTF">2026-09-06T10:27:29Z</dcterms:modified>
  <cp:lastModifiedBy>Fuyu Yang</cp:lastModifiedBy>
</cp:coreProperties>
</file>