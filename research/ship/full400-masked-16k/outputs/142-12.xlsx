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1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4" fontId="0" fillId="2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M15"/>
  <sheetViews>
    <sheetView tabSelected="1" workbookViewId="0">
      <selection activeCell="F13" sqref="F13"/>
    </sheetView>
  </sheetViews>
  <sheetFormatPr baseColWidth="8" defaultRowHeight="14.25" outlineLevelCol="0"/>
  <cols>
    <col width="5.1328125" customWidth="1" min="1" max="1"/>
    <col width="19.86328125" customWidth="1" min="3" max="3"/>
    <col width="13.53125" customWidth="1" min="4" max="4"/>
    <col width="6.53125" customWidth="1" min="5" max="5"/>
    <col width="33.73046875" customWidth="1" min="6" max="6"/>
  </cols>
  <sheetData>
    <row r="1">
      <c r="C1" t="inlineStr">
        <is>
          <t>MSStockbridge</t>
        </is>
      </c>
      <c r="D1" t="inlineStr">
        <is>
          <t>CLEARED</t>
        </is>
      </c>
      <c r="E1" s="1" t="n">
        <v>44915</v>
      </c>
      <c r="F1">
        <f>IF(AND(L1="Marble Slab Creamery", J1=INT(J1)), "Georgia State WH", L1)</f>
        <v/>
      </c>
      <c r="G1" t="inlineStr">
        <is>
          <t>Investments</t>
        </is>
      </c>
      <c r="J1" s="7">
        <f>M1</f>
        <v/>
      </c>
      <c r="L1" t="inlineStr">
        <is>
          <t>Marble Slab Bran/corp</t>
        </is>
      </c>
      <c r="M1" t="n">
        <v>-12.81</v>
      </c>
    </row>
    <row r="2">
      <c r="C2" t="inlineStr">
        <is>
          <t>MSStockbridge</t>
        </is>
      </c>
      <c r="D2" t="inlineStr">
        <is>
          <t>CLEARED</t>
        </is>
      </c>
      <c r="E2" s="1" t="n">
        <v>44922</v>
      </c>
      <c r="F2">
        <f>IF(AND(L2="Marble Slab Creamery", J2=INT(J2)), "Georgia State WH", L2)</f>
        <v/>
      </c>
      <c r="G2" t="inlineStr">
        <is>
          <t>Investments</t>
        </is>
      </c>
      <c r="J2" s="7">
        <f>M2</f>
        <v/>
      </c>
      <c r="L2" t="inlineStr">
        <is>
          <t>Marble Slab Bran/corp</t>
        </is>
      </c>
      <c r="M2" t="n">
        <v>-13.22</v>
      </c>
    </row>
    <row r="3">
      <c r="C3" t="inlineStr">
        <is>
          <t>MSStockbridge</t>
        </is>
      </c>
      <c r="D3" t="inlineStr">
        <is>
          <t>CLEARED</t>
        </is>
      </c>
      <c r="E3" s="1" t="n">
        <v>44929</v>
      </c>
      <c r="F3">
        <f>IF(AND(L3="Marble Slab Creamery", J3=INT(J3)), "Georgia State WH", L3)</f>
        <v/>
      </c>
      <c r="G3" t="inlineStr">
        <is>
          <t>Investments</t>
        </is>
      </c>
      <c r="J3" s="7">
        <f>M3</f>
        <v/>
      </c>
      <c r="L3" t="inlineStr">
        <is>
          <t>Marble Slab Bran/corp</t>
        </is>
      </c>
      <c r="M3" t="n">
        <v>-8.9</v>
      </c>
    </row>
    <row r="4">
      <c r="C4" t="inlineStr">
        <is>
          <t>MSStockbridge</t>
        </is>
      </c>
      <c r="D4" t="inlineStr">
        <is>
          <t>CLEARED</t>
        </is>
      </c>
      <c r="E4" s="3" t="n">
        <v>44900</v>
      </c>
      <c r="F4" s="4">
        <f>IF(AND(L4="Marble Slab Creamery", J4=INT(J4)), "Georgia State WH", L4)</f>
        <v/>
      </c>
      <c r="G4" s="4" t="inlineStr">
        <is>
          <t>Investments</t>
        </is>
      </c>
      <c r="H4" s="4" t="n"/>
      <c r="I4" s="4" t="n"/>
      <c r="J4" s="8">
        <f>M4</f>
        <v/>
      </c>
      <c r="L4" t="inlineStr">
        <is>
          <t>Marble Slab Creamery</t>
        </is>
      </c>
      <c r="M4" t="n">
        <v>-470.64</v>
      </c>
    </row>
    <row r="5">
      <c r="C5" t="inlineStr">
        <is>
          <t>MSStockbridge</t>
        </is>
      </c>
      <c r="D5" t="inlineStr">
        <is>
          <t>CLEARED</t>
        </is>
      </c>
      <c r="E5" s="3" t="n">
        <v>44929</v>
      </c>
      <c r="F5" s="4">
        <f>IF(AND(L5="Marble Slab Creamery", J5=INT(J5)), "Georgia State WH", L5)</f>
        <v/>
      </c>
      <c r="G5" s="4" t="inlineStr">
        <is>
          <t>Investments</t>
        </is>
      </c>
      <c r="H5" s="4" t="n"/>
      <c r="I5" s="4" t="n"/>
      <c r="J5" s="8">
        <f>M5</f>
        <v/>
      </c>
      <c r="L5" t="inlineStr">
        <is>
          <t>Marble Slab Creamery</t>
        </is>
      </c>
      <c r="M5" t="n">
        <v>-39.95</v>
      </c>
    </row>
    <row r="6">
      <c r="C6" t="inlineStr">
        <is>
          <t>MSStockbridge</t>
        </is>
      </c>
      <c r="D6" t="inlineStr">
        <is>
          <t>CLEARED</t>
        </is>
      </c>
      <c r="E6" s="3" t="n">
        <v>44900</v>
      </c>
      <c r="F6" s="4">
        <f>IF(AND(L6="Marble Slab Creamery", J6=INT(J6)), "Georgia State WH", L6)</f>
        <v/>
      </c>
      <c r="G6" s="4" t="inlineStr">
        <is>
          <t>Investments</t>
        </is>
      </c>
      <c r="H6" s="4" t="n"/>
      <c r="I6" s="4" t="n"/>
      <c r="J6" s="8">
        <f>M6</f>
        <v/>
      </c>
      <c r="L6" t="inlineStr">
        <is>
          <t>Marble Slab Creamery</t>
        </is>
      </c>
      <c r="M6" t="n">
        <v>-58.45</v>
      </c>
    </row>
    <row r="7">
      <c r="C7" t="inlineStr">
        <is>
          <t>MSStockbridge</t>
        </is>
      </c>
      <c r="D7" t="inlineStr">
        <is>
          <t>CLEARED</t>
        </is>
      </c>
      <c r="E7" s="3" t="n">
        <v>44929</v>
      </c>
      <c r="F7" s="4">
        <f>IF(AND(L7="Marble Slab Creamery", J7=INT(J7)), "Georgia State WH", L7)</f>
        <v/>
      </c>
      <c r="G7" s="4" t="inlineStr">
        <is>
          <t>Investments</t>
        </is>
      </c>
      <c r="H7" s="4" t="n"/>
      <c r="I7" s="4" t="n"/>
      <c r="J7" s="8">
        <f>M7</f>
        <v/>
      </c>
      <c r="L7" t="inlineStr">
        <is>
          <t>Marble Slab Creamery</t>
        </is>
      </c>
      <c r="M7" t="n">
        <v>-54.3</v>
      </c>
    </row>
    <row r="8">
      <c r="C8" t="inlineStr">
        <is>
          <t>MSStockbridge</t>
        </is>
      </c>
      <c r="D8" t="inlineStr">
        <is>
          <t>CLEARED</t>
        </is>
      </c>
      <c r="E8" s="3" t="n">
        <v>44900</v>
      </c>
      <c r="F8" s="4">
        <f>IF(AND(L8="Marble Slab Creamery", J8=INT(J8)), "Georgia State WH", L8)</f>
        <v/>
      </c>
      <c r="G8" s="4" t="inlineStr">
        <is>
          <t>Investments</t>
        </is>
      </c>
      <c r="H8" s="4" t="n"/>
      <c r="I8" s="4" t="n"/>
      <c r="J8" s="8">
        <f>M8</f>
        <v/>
      </c>
      <c r="L8" t="inlineStr">
        <is>
          <t>Marble Slab Creamery</t>
        </is>
      </c>
      <c r="M8" t="n">
        <v>-273.55</v>
      </c>
    </row>
    <row r="9">
      <c r="C9" t="inlineStr">
        <is>
          <t>MSStockbridge</t>
        </is>
      </c>
      <c r="D9" t="inlineStr">
        <is>
          <t>CLEARED</t>
        </is>
      </c>
      <c r="E9" s="3" t="n">
        <v>44897</v>
      </c>
      <c r="F9" s="4">
        <f>IF(AND(L9="Marble Slab Creamery", J9=INT(J9)), "Georgia State WH", L9)</f>
        <v/>
      </c>
      <c r="G9" s="4" t="inlineStr">
        <is>
          <t>Investments</t>
        </is>
      </c>
      <c r="H9" s="4" t="n"/>
      <c r="I9" s="4" t="n"/>
      <c r="J9" s="8">
        <f>M9</f>
        <v/>
      </c>
      <c r="L9" t="inlineStr">
        <is>
          <t>Marble Slab Creamery</t>
        </is>
      </c>
      <c r="M9" t="n">
        <v>-106.87</v>
      </c>
    </row>
    <row r="10">
      <c r="C10" t="inlineStr">
        <is>
          <t>MSStockbridge</t>
        </is>
      </c>
      <c r="D10" t="inlineStr">
        <is>
          <t>CLEARED</t>
        </is>
      </c>
      <c r="E10" s="3" t="n">
        <v>44936</v>
      </c>
      <c r="F10" s="6">
        <f>IF(AND(L10="Marble Slab Creamery", J10=INT(J10)), "Georgia State WH", L10)</f>
        <v/>
      </c>
      <c r="G10" s="4" t="inlineStr">
        <is>
          <t>Investments</t>
        </is>
      </c>
      <c r="H10" s="4" t="n"/>
      <c r="I10" s="4" t="n"/>
      <c r="J10" s="8">
        <f>M10</f>
        <v/>
      </c>
      <c r="L10" t="inlineStr">
        <is>
          <t>Marble Slab Creamery</t>
        </is>
      </c>
      <c r="M10" t="n">
        <v>-507</v>
      </c>
    </row>
    <row r="11">
      <c r="C11" t="inlineStr">
        <is>
          <t>MSStockbridge</t>
        </is>
      </c>
      <c r="D11" t="inlineStr">
        <is>
          <t>CLEARED</t>
        </is>
      </c>
      <c r="E11" s="1" t="n">
        <v>44929</v>
      </c>
      <c r="F11">
        <f>IF(AND(L11="Marble Slab Creamery", J11=INT(J11)), "Georgia State WH", L11)</f>
        <v/>
      </c>
      <c r="G11" t="inlineStr">
        <is>
          <t>Investments</t>
        </is>
      </c>
      <c r="J11" s="7">
        <f>M11</f>
        <v/>
      </c>
      <c r="L11" t="inlineStr">
        <is>
          <t>Marble Slab Creamery</t>
        </is>
      </c>
      <c r="M11" t="n">
        <v>-421.72</v>
      </c>
    </row>
    <row r="12">
      <c r="C12" t="inlineStr">
        <is>
          <t>MSStockbridge</t>
        </is>
      </c>
      <c r="D12" t="inlineStr">
        <is>
          <t>CLEARED</t>
        </is>
      </c>
      <c r="E12" s="1" t="n">
        <v>44929</v>
      </c>
      <c r="F12">
        <f>IF(AND(L12="Marble Slab Creamery", J12=INT(J12)), "Georgia State WH", L12)</f>
        <v/>
      </c>
      <c r="G12" t="inlineStr">
        <is>
          <t>Investments</t>
        </is>
      </c>
      <c r="J12" s="7">
        <f>M12</f>
        <v/>
      </c>
      <c r="L12" t="inlineStr">
        <is>
          <t>Marble Slab Creamery</t>
        </is>
      </c>
      <c r="M12" t="n">
        <v>-238.17</v>
      </c>
    </row>
    <row r="13">
      <c r="C13" t="inlineStr">
        <is>
          <t>MSStockbridge</t>
        </is>
      </c>
      <c r="D13" t="inlineStr">
        <is>
          <t>CLEARED</t>
        </is>
      </c>
      <c r="E13" s="1" t="n">
        <v>44907</v>
      </c>
      <c r="F13" s="6">
        <f>IF(AND(L13="Marble Slab Creamery", J13=INT(J13)), "Georgia State WH", L13)</f>
        <v/>
      </c>
      <c r="G13" t="inlineStr">
        <is>
          <t>Investments</t>
        </is>
      </c>
      <c r="J13" s="7">
        <f>M13</f>
        <v/>
      </c>
      <c r="L13" t="inlineStr">
        <is>
          <t>Marble Slab Creamery</t>
        </is>
      </c>
      <c r="M13" t="n">
        <v>-572</v>
      </c>
    </row>
    <row r="14">
      <c r="C14" t="inlineStr">
        <is>
          <t>MSStockbridge</t>
        </is>
      </c>
      <c r="D14" t="inlineStr">
        <is>
          <t>CLEARED</t>
        </is>
      </c>
      <c r="E14" s="1" t="n">
        <v>44929</v>
      </c>
      <c r="F14">
        <f>IF(AND(L14="Marble Slab Creamery", J14=INT(J14)), "Georgia State WH", L14)</f>
        <v/>
      </c>
      <c r="G14" t="inlineStr">
        <is>
          <t>Investments</t>
        </is>
      </c>
      <c r="J14" s="7">
        <f>M14</f>
        <v/>
      </c>
      <c r="L14" t="inlineStr">
        <is>
          <t>Marble Slab Creamery</t>
        </is>
      </c>
      <c r="M14" t="n">
        <v>-255.87</v>
      </c>
    </row>
    <row r="15">
      <c r="C15" t="inlineStr">
        <is>
          <t>MSStockbridge</t>
        </is>
      </c>
      <c r="D15" t="inlineStr">
        <is>
          <t>CLEARED</t>
        </is>
      </c>
      <c r="E15" s="1" t="n">
        <v>44936</v>
      </c>
      <c r="F15">
        <f>IF(AND(L15="Marble Slab Creamery", J15=INT(J15)), "Georgia State WH", L15)</f>
        <v/>
      </c>
      <c r="G15" t="inlineStr">
        <is>
          <t>Investments</t>
        </is>
      </c>
      <c r="J15" s="7">
        <f>M15</f>
        <v/>
      </c>
      <c r="L15" t="inlineStr">
        <is>
          <t>Marble Slab Bran/corp</t>
        </is>
      </c>
      <c r="M15" t="n">
        <v>-32.94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2023-02-03T19:57:41Z</dcterms:created>
  <dcterms:modified xmlns:dcterms="http://purl.org/dc/terms/" xmlns:xsi="http://www.w3.org/2001/XMLSchema-instance" xsi:type="dcterms:W3CDTF">2026-09-06T10:12:45Z</dcterms:modified>
  <cp:lastModifiedBy>Admin</cp:lastModifiedBy>
</cp:coreProperties>
</file>