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xmlns:r="http://schemas.openxmlformats.org/officeDocument/2006/relationships" name="Emp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E1" sqref="E1:J1"/>
    </sheetView>
  </sheetViews>
  <sheetFormatPr baseColWidth="8" defaultRowHeight="14"/>
  <cols>
    <col width="6.5" bestFit="1" customWidth="1" min="3" max="4"/>
    <col width="11.6640625" bestFit="1" customWidth="1" min="10" max="10"/>
  </cols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2" t="inlineStr">
        <is>
          <t>Comp1</t>
        </is>
      </c>
      <c r="F1" s="2" t="inlineStr">
        <is>
          <t>2_comp</t>
        </is>
      </c>
      <c r="G1" s="2" t="inlineStr">
        <is>
          <t>dept1</t>
        </is>
      </c>
      <c r="H1" s="2" t="inlineStr">
        <is>
          <t>avg sal</t>
        </is>
      </c>
      <c r="I1" s="2" t="inlineStr">
        <is>
          <t>hike</t>
        </is>
      </c>
      <c r="J1" s="2" t="inlineStr">
        <is>
          <t>performance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1" t="n">
        <v>2</v>
      </c>
      <c r="F2" s="1" t="n">
        <v>4</v>
      </c>
      <c r="G2" s="1" t="n">
        <v>3</v>
      </c>
      <c r="H2" s="1" t="n">
        <v>1</v>
      </c>
      <c r="I2" s="1" t="n">
        <v>2</v>
      </c>
      <c r="J2" s="1" t="n">
        <v>1</v>
      </c>
    </row>
    <row r="3">
      <c r="A3" s="1" t="n">
        <v>2</v>
      </c>
      <c r="B3" s="1" t="n">
        <v>2001</v>
      </c>
      <c r="C3" s="1" t="inlineStr">
        <is>
          <t>hari</t>
        </is>
      </c>
      <c r="D3" s="1" t="n">
        <v>21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5</v>
      </c>
      <c r="J3" s="1" t="n">
        <v>2</v>
      </c>
    </row>
    <row r="4">
      <c r="A4" s="1" t="n">
        <v>3</v>
      </c>
      <c r="B4" s="1" t="n">
        <v>2008</v>
      </c>
      <c r="C4" s="1" t="inlineStr">
        <is>
          <t>gopal</t>
        </is>
      </c>
      <c r="D4" s="1" t="n">
        <v>16</v>
      </c>
      <c r="E4" s="1" t="n">
        <v>3</v>
      </c>
      <c r="F4" s="1" t="n">
        <v>2</v>
      </c>
      <c r="G4" s="1" t="n">
        <v>1</v>
      </c>
      <c r="H4" s="1" t="n">
        <v>1</v>
      </c>
      <c r="I4" s="1" t="n">
        <v>1</v>
      </c>
      <c r="J4" s="1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:C7"/>
    </sheetView>
  </sheetViews>
  <sheetFormatPr baseColWidth="8" defaultRowHeight="14"/>
  <cols>
    <col width="11.6640625" bestFit="1" customWidth="1" min="1" max="1"/>
    <col width="8.1640625" bestFit="1" customWidth="1" min="2" max="2"/>
    <col width="11" bestFit="1" customWidth="1" min="3" max="3"/>
  </cols>
  <sheetData>
    <row r="1">
      <c r="A1" s="3" t="inlineStr">
        <is>
          <t>Variable</t>
        </is>
      </c>
      <c r="B1" s="3" t="inlineStr">
        <is>
          <t>Category</t>
        </is>
      </c>
      <c r="C1" s="3" t="inlineStr">
        <is>
          <t>Subcategory</t>
        </is>
      </c>
    </row>
    <row r="2">
      <c r="A2" s="3" t="inlineStr">
        <is>
          <t>Comp1</t>
        </is>
      </c>
      <c r="B2" s="3" t="inlineStr">
        <is>
          <t>Survey</t>
        </is>
      </c>
      <c r="C2" s="3" t="inlineStr">
        <is>
          <t>Country</t>
        </is>
      </c>
    </row>
    <row r="3">
      <c r="A3" s="3" t="inlineStr">
        <is>
          <t>2_comp</t>
        </is>
      </c>
      <c r="B3" s="3" t="inlineStr">
        <is>
          <t>Survey</t>
        </is>
      </c>
      <c r="C3" s="3" t="inlineStr">
        <is>
          <t>CONTINENT</t>
        </is>
      </c>
    </row>
    <row r="4">
      <c r="A4" s="3" t="inlineStr">
        <is>
          <t>dept1</t>
        </is>
      </c>
      <c r="B4" s="3" t="inlineStr">
        <is>
          <t>Survey</t>
        </is>
      </c>
      <c r="C4" s="3" t="inlineStr">
        <is>
          <t>STATE</t>
        </is>
      </c>
    </row>
    <row r="5">
      <c r="A5" s="3" t="inlineStr">
        <is>
          <t>avg sal</t>
        </is>
      </c>
      <c r="B5" s="3" t="inlineStr">
        <is>
          <t>Survey</t>
        </is>
      </c>
      <c r="C5" s="3" t="inlineStr">
        <is>
          <t>DISTRICT</t>
        </is>
      </c>
    </row>
    <row r="6">
      <c r="A6" s="3" t="inlineStr">
        <is>
          <t>hike</t>
        </is>
      </c>
      <c r="B6" s="3" t="inlineStr">
        <is>
          <t>Survey</t>
        </is>
      </c>
      <c r="C6" s="3" t="inlineStr">
        <is>
          <t>Country</t>
        </is>
      </c>
    </row>
    <row r="7">
      <c r="A7" s="3" t="inlineStr">
        <is>
          <t>performance</t>
        </is>
      </c>
      <c r="B7" s="3" t="inlineStr">
        <is>
          <t>Survey</t>
        </is>
      </c>
      <c r="C7" s="3" t="inlineStr">
        <is>
          <t>HEADQTR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A11" sqref="A11:H19"/>
    </sheetView>
  </sheetViews>
  <sheetFormatPr baseColWidth="8" defaultRowHeight="14"/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3" t="inlineStr">
        <is>
          <t>Variable</t>
        </is>
      </c>
      <c r="F1" s="3" t="inlineStr">
        <is>
          <t>Category</t>
        </is>
      </c>
      <c r="G1" s="3" t="inlineStr">
        <is>
          <t>Subcategory</t>
        </is>
      </c>
      <c r="H1" s="3" t="inlineStr">
        <is>
          <t>Value</t>
        </is>
      </c>
    </row>
    <row r="2">
      <c r="A2" s="1">
        <f>INDEX(Emp!$A:$A,INT((ROW()-2)/6)+2)</f>
        <v/>
      </c>
      <c r="B2" s="1">
        <f>INDEX(Emp!$B:$B,INT((ROW()-2)/6)+2)</f>
        <v/>
      </c>
      <c r="C2" s="1">
        <f>INDEX(Emp!$C:$C,INT((ROW()-2)/6)+2)</f>
        <v/>
      </c>
      <c r="D2" s="1">
        <f>INDEX(Emp!$D:$D,INT((ROW()-2)/6)+2)</f>
        <v/>
      </c>
      <c r="E2" s="3">
        <f>INDEX(Emp!$1:$1,1,5+MOD(ROW()-2,6))</f>
        <v/>
      </c>
      <c r="F2" s="3">
        <f>INDEX(Lookup!$B:$B,MATCH($E2,Lookup!$A:$A,0))</f>
        <v/>
      </c>
      <c r="G2" s="3">
        <f>INDEX(Lookup!$C:$C,MATCH($E2,Lookup!$A:$A,0))</f>
        <v/>
      </c>
      <c r="H2" s="1">
        <f>INDEX(Emp!$E:$J,INT((ROW()-2)/6)+2,MOD(ROW()-2,6)+1)</f>
        <v/>
      </c>
    </row>
    <row r="3">
      <c r="A3" s="1">
        <f>INDEX(Emp!$A:$A,INT((ROW()-2)/6)+2)</f>
        <v/>
      </c>
      <c r="B3" s="1">
        <f>INDEX(Emp!$B:$B,INT((ROW()-2)/6)+2)</f>
        <v/>
      </c>
      <c r="C3" s="1">
        <f>INDEX(Emp!$C:$C,INT((ROW()-2)/6)+2)</f>
        <v/>
      </c>
      <c r="D3" s="1">
        <f>INDEX(Emp!$D:$D,INT((ROW()-2)/6)+2)</f>
        <v/>
      </c>
      <c r="E3" s="3">
        <f>INDEX(Emp!$1:$1,1,5+MOD(ROW()-2,6))</f>
        <v/>
      </c>
      <c r="F3" s="3">
        <f>INDEX(Lookup!$B:$B,MATCH($E3,Lookup!$A:$A,0))</f>
        <v/>
      </c>
      <c r="G3" s="3">
        <f>INDEX(Lookup!$C:$C,MATCH($E3,Lookup!$A:$A,0))</f>
        <v/>
      </c>
      <c r="H3" s="1">
        <f>INDEX(Emp!$E:$J,INT((ROW()-2)/6)+2,MOD(ROW()-2,6)+1)</f>
        <v/>
      </c>
    </row>
    <row r="4">
      <c r="A4" s="1">
        <f>INDEX(Emp!$A:$A,INT((ROW()-2)/6)+2)</f>
        <v/>
      </c>
      <c r="B4" s="1">
        <f>INDEX(Emp!$B:$B,INT((ROW()-2)/6)+2)</f>
        <v/>
      </c>
      <c r="C4" s="1">
        <f>INDEX(Emp!$C:$C,INT((ROW()-2)/6)+2)</f>
        <v/>
      </c>
      <c r="D4" s="1">
        <f>INDEX(Emp!$D:$D,INT((ROW()-2)/6)+2)</f>
        <v/>
      </c>
      <c r="E4" s="3">
        <f>INDEX(Emp!$1:$1,1,5+MOD(ROW()-2,6))</f>
        <v/>
      </c>
      <c r="F4" s="3">
        <f>INDEX(Lookup!$B:$B,MATCH($E4,Lookup!$A:$A,0))</f>
        <v/>
      </c>
      <c r="G4" s="3">
        <f>INDEX(Lookup!$C:$C,MATCH($E4,Lookup!$A:$A,0))</f>
        <v/>
      </c>
      <c r="H4" s="1">
        <f>INDEX(Emp!$E:$J,INT((ROW()-2)/6)+2,MOD(ROW()-2,6)+1)</f>
        <v/>
      </c>
    </row>
    <row r="5">
      <c r="A5" s="1">
        <f>INDEX(Emp!$A:$A,INT((ROW()-2)/6)+2)</f>
        <v/>
      </c>
      <c r="B5" s="1">
        <f>INDEX(Emp!$B:$B,INT((ROW()-2)/6)+2)</f>
        <v/>
      </c>
      <c r="C5" s="1">
        <f>INDEX(Emp!$C:$C,INT((ROW()-2)/6)+2)</f>
        <v/>
      </c>
      <c r="D5" s="1">
        <f>INDEX(Emp!$D:$D,INT((ROW()-2)/6)+2)</f>
        <v/>
      </c>
      <c r="E5" s="3">
        <f>INDEX(Emp!$1:$1,1,5+MOD(ROW()-2,6))</f>
        <v/>
      </c>
      <c r="F5" s="3">
        <f>INDEX(Lookup!$B:$B,MATCH($E5,Lookup!$A:$A,0))</f>
        <v/>
      </c>
      <c r="G5" s="3">
        <f>INDEX(Lookup!$C:$C,MATCH($E5,Lookup!$A:$A,0))</f>
        <v/>
      </c>
      <c r="H5" s="1">
        <f>INDEX(Emp!$E:$J,INT((ROW()-2)/6)+2,MOD(ROW()-2,6)+1)</f>
        <v/>
      </c>
    </row>
    <row r="6">
      <c r="A6" s="1">
        <f>INDEX(Emp!$A:$A,INT((ROW()-2)/6)+2)</f>
        <v/>
      </c>
      <c r="B6" s="1">
        <f>INDEX(Emp!$B:$B,INT((ROW()-2)/6)+2)</f>
        <v/>
      </c>
      <c r="C6" s="1">
        <f>INDEX(Emp!$C:$C,INT((ROW()-2)/6)+2)</f>
        <v/>
      </c>
      <c r="D6" s="1">
        <f>INDEX(Emp!$D:$D,INT((ROW()-2)/6)+2)</f>
        <v/>
      </c>
      <c r="E6" s="3">
        <f>INDEX(Emp!$1:$1,1,5+MOD(ROW()-2,6))</f>
        <v/>
      </c>
      <c r="F6" s="3">
        <f>INDEX(Lookup!$B:$B,MATCH($E6,Lookup!$A:$A,0))</f>
        <v/>
      </c>
      <c r="G6" s="3">
        <f>INDEX(Lookup!$C:$C,MATCH($E6,Lookup!$A:$A,0))</f>
        <v/>
      </c>
      <c r="H6" s="1">
        <f>INDEX(Emp!$E:$J,INT((ROW()-2)/6)+2,MOD(ROW()-2,6)+1)</f>
        <v/>
      </c>
    </row>
    <row r="7">
      <c r="A7" s="1">
        <f>INDEX(Emp!$A:$A,INT((ROW()-2)/6)+2)</f>
        <v/>
      </c>
      <c r="B7" s="1">
        <f>INDEX(Emp!$B:$B,INT((ROW()-2)/6)+2)</f>
        <v/>
      </c>
      <c r="C7" s="1">
        <f>INDEX(Emp!$C:$C,INT((ROW()-2)/6)+2)</f>
        <v/>
      </c>
      <c r="D7" s="1">
        <f>INDEX(Emp!$D:$D,INT((ROW()-2)/6)+2)</f>
        <v/>
      </c>
      <c r="E7" s="3">
        <f>INDEX(Emp!$1:$1,1,5+MOD(ROW()-2,6))</f>
        <v/>
      </c>
      <c r="F7" s="3">
        <f>INDEX(Lookup!$B:$B,MATCH($E7,Lookup!$A:$A,0))</f>
        <v/>
      </c>
      <c r="G7" s="3">
        <f>INDEX(Lookup!$C:$C,MATCH($E7,Lookup!$A:$A,0))</f>
        <v/>
      </c>
      <c r="H7" s="1">
        <f>INDEX(Emp!$E:$J,INT((ROW()-2)/6)+2,MOD(ROW()-2,6)+1)</f>
        <v/>
      </c>
    </row>
    <row r="8">
      <c r="A8" s="1">
        <f>INDEX(Emp!$A:$A,INT((ROW()-2)/6)+2)</f>
        <v/>
      </c>
      <c r="B8" s="1">
        <f>INDEX(Emp!$B:$B,INT((ROW()-2)/6)+2)</f>
        <v/>
      </c>
      <c r="C8" s="1">
        <f>INDEX(Emp!$C:$C,INT((ROW()-2)/6)+2)</f>
        <v/>
      </c>
      <c r="D8" s="1">
        <f>INDEX(Emp!$D:$D,INT((ROW()-2)/6)+2)</f>
        <v/>
      </c>
      <c r="E8" s="3">
        <f>INDEX(Emp!$1:$1,1,5+MOD(ROW()-2,6))</f>
        <v/>
      </c>
      <c r="F8" s="3">
        <f>INDEX(Lookup!$B:$B,MATCH($E8,Lookup!$A:$A,0))</f>
        <v/>
      </c>
      <c r="G8" s="3">
        <f>INDEX(Lookup!$C:$C,MATCH($E8,Lookup!$A:$A,0))</f>
        <v/>
      </c>
      <c r="H8" s="1">
        <f>INDEX(Emp!$E:$J,INT((ROW()-2)/6)+2,MOD(ROW()-2,6)+1)</f>
        <v/>
      </c>
    </row>
    <row r="9">
      <c r="A9" s="1">
        <f>INDEX(Emp!$A:$A,INT((ROW()-2)/6)+2)</f>
        <v/>
      </c>
      <c r="B9" s="1">
        <f>INDEX(Emp!$B:$B,INT((ROW()-2)/6)+2)</f>
        <v/>
      </c>
      <c r="C9" s="1">
        <f>INDEX(Emp!$C:$C,INT((ROW()-2)/6)+2)</f>
        <v/>
      </c>
      <c r="D9" s="1">
        <f>INDEX(Emp!$D:$D,INT((ROW()-2)/6)+2)</f>
        <v/>
      </c>
      <c r="E9" s="3">
        <f>INDEX(Emp!$1:$1,1,5+MOD(ROW()-2,6))</f>
        <v/>
      </c>
      <c r="F9" s="3">
        <f>INDEX(Lookup!$B:$B,MATCH($E9,Lookup!$A:$A,0))</f>
        <v/>
      </c>
      <c r="G9" s="3">
        <f>INDEX(Lookup!$C:$C,MATCH($E9,Lookup!$A:$A,0))</f>
        <v/>
      </c>
      <c r="H9" s="1">
        <f>INDEX(Emp!$E:$J,INT((ROW()-2)/6)+2,MOD(ROW()-2,6)+1)</f>
        <v/>
      </c>
    </row>
    <row r="10">
      <c r="A10" s="1">
        <f>INDEX(Emp!$A:$A,INT((ROW()-2)/6)+2)</f>
        <v/>
      </c>
      <c r="B10" s="1">
        <f>INDEX(Emp!$B:$B,INT((ROW()-2)/6)+2)</f>
        <v/>
      </c>
      <c r="C10" s="1">
        <f>INDEX(Emp!$C:$C,INT((ROW()-2)/6)+2)</f>
        <v/>
      </c>
      <c r="D10" s="1">
        <f>INDEX(Emp!$D:$D,INT((ROW()-2)/6)+2)</f>
        <v/>
      </c>
      <c r="E10" s="3">
        <f>INDEX(Emp!$1:$1,1,5+MOD(ROW()-2,6))</f>
        <v/>
      </c>
      <c r="F10" s="3">
        <f>INDEX(Lookup!$B:$B,MATCH($E10,Lookup!$A:$A,0))</f>
        <v/>
      </c>
      <c r="G10" s="3">
        <f>INDEX(Lookup!$C:$C,MATCH($E10,Lookup!$A:$A,0))</f>
        <v/>
      </c>
      <c r="H10" s="1">
        <f>INDEX(Emp!$E:$J,INT((ROW()-2)/6)+2,MOD(ROW()-2,6)+1)</f>
        <v/>
      </c>
    </row>
    <row r="11">
      <c r="A11" s="1">
        <f>INDEX(Emp!$A:$A,INT((ROW()-2)/6)+2)</f>
        <v/>
      </c>
      <c r="B11" s="1">
        <f>INDEX(Emp!$B:$B,INT((ROW()-2)/6)+2)</f>
        <v/>
      </c>
      <c r="C11" s="1">
        <f>INDEX(Emp!$C:$C,INT((ROW()-2)/6)+2)</f>
        <v/>
      </c>
      <c r="D11" s="1">
        <f>INDEX(Emp!$D:$D,INT((ROW()-2)/6)+2)</f>
        <v/>
      </c>
      <c r="E11" s="3">
        <f>INDEX(Emp!$1:$1,1,5+MOD(ROW()-2,6))</f>
        <v/>
      </c>
      <c r="F11" s="3">
        <f>INDEX(Lookup!$B:$B,MATCH($E11,Lookup!$A:$A,0))</f>
        <v/>
      </c>
      <c r="G11" s="3">
        <f>INDEX(Lookup!$C:$C,MATCH($E11,Lookup!$A:$A,0))</f>
        <v/>
      </c>
      <c r="H11" s="1">
        <f>INDEX(Emp!$E:$J,INT((ROW()-2)/6)+2,MOD(ROW()-2,6)+1)</f>
        <v/>
      </c>
    </row>
    <row r="12">
      <c r="A12" s="1">
        <f>INDEX(Emp!$A:$A,INT((ROW()-2)/6)+2)</f>
        <v/>
      </c>
      <c r="B12" s="1">
        <f>INDEX(Emp!$B:$B,INT((ROW()-2)/6)+2)</f>
        <v/>
      </c>
      <c r="C12" s="1">
        <f>INDEX(Emp!$C:$C,INT((ROW()-2)/6)+2)</f>
        <v/>
      </c>
      <c r="D12" s="1">
        <f>INDEX(Emp!$D:$D,INT((ROW()-2)/6)+2)</f>
        <v/>
      </c>
      <c r="E12" s="3">
        <f>INDEX(Emp!$1:$1,1,5+MOD(ROW()-2,6))</f>
        <v/>
      </c>
      <c r="F12" s="3">
        <f>INDEX(Lookup!$B:$B,MATCH($E12,Lookup!$A:$A,0))</f>
        <v/>
      </c>
      <c r="G12" s="3">
        <f>INDEX(Lookup!$C:$C,MATCH($E12,Lookup!$A:$A,0))</f>
        <v/>
      </c>
      <c r="H12" s="1">
        <f>INDEX(Emp!$E:$J,INT((ROW()-2)/6)+2,MOD(ROW()-2,6)+1)</f>
        <v/>
      </c>
    </row>
    <row r="13">
      <c r="A13" s="1">
        <f>INDEX(Emp!$A:$A,INT((ROW()-2)/6)+2)</f>
        <v/>
      </c>
      <c r="B13" s="1">
        <f>INDEX(Emp!$B:$B,INT((ROW()-2)/6)+2)</f>
        <v/>
      </c>
      <c r="C13" s="1">
        <f>INDEX(Emp!$C:$C,INT((ROW()-2)/6)+2)</f>
        <v/>
      </c>
      <c r="D13" s="1">
        <f>INDEX(Emp!$D:$D,INT((ROW()-2)/6)+2)</f>
        <v/>
      </c>
      <c r="E13" s="3">
        <f>INDEX(Emp!$1:$1,1,5+MOD(ROW()-2,6))</f>
        <v/>
      </c>
      <c r="F13" s="3">
        <f>INDEX(Lookup!$B:$B,MATCH($E13,Lookup!$A:$A,0))</f>
        <v/>
      </c>
      <c r="G13" s="3">
        <f>INDEX(Lookup!$C:$C,MATCH($E13,Lookup!$A:$A,0))</f>
        <v/>
      </c>
      <c r="H13" s="1">
        <f>INDEX(Emp!$E:$J,INT((ROW()-2)/6)+2,MOD(ROW()-2,6)+1)</f>
        <v/>
      </c>
    </row>
    <row r="14">
      <c r="A14" s="1">
        <f>INDEX(Emp!$A:$A,INT((ROW()-2)/6)+2)</f>
        <v/>
      </c>
      <c r="B14" s="1">
        <f>INDEX(Emp!$B:$B,INT((ROW()-2)/6)+2)</f>
        <v/>
      </c>
      <c r="C14" s="1">
        <f>INDEX(Emp!$C:$C,INT((ROW()-2)/6)+2)</f>
        <v/>
      </c>
      <c r="D14" s="1">
        <f>INDEX(Emp!$D:$D,INT((ROW()-2)/6)+2)</f>
        <v/>
      </c>
      <c r="E14" s="3">
        <f>INDEX(Emp!$1:$1,1,5+MOD(ROW()-2,6))</f>
        <v/>
      </c>
      <c r="F14" s="3">
        <f>INDEX(Lookup!$B:$B,MATCH($E14,Lookup!$A:$A,0))</f>
        <v/>
      </c>
      <c r="G14" s="3">
        <f>INDEX(Lookup!$C:$C,MATCH($E14,Lookup!$A:$A,0))</f>
        <v/>
      </c>
      <c r="H14" s="1">
        <f>INDEX(Emp!$E:$J,INT((ROW()-2)/6)+2,MOD(ROW()-2,6)+1)</f>
        <v/>
      </c>
    </row>
    <row r="15">
      <c r="A15" s="1">
        <f>INDEX(Emp!$A:$A,INT((ROW()-2)/6)+2)</f>
        <v/>
      </c>
      <c r="B15" s="1">
        <f>INDEX(Emp!$B:$B,INT((ROW()-2)/6)+2)</f>
        <v/>
      </c>
      <c r="C15" s="1">
        <f>INDEX(Emp!$C:$C,INT((ROW()-2)/6)+2)</f>
        <v/>
      </c>
      <c r="D15" s="1">
        <f>INDEX(Emp!$D:$D,INT((ROW()-2)/6)+2)</f>
        <v/>
      </c>
      <c r="E15" s="3">
        <f>INDEX(Emp!$1:$1,1,5+MOD(ROW()-2,6))</f>
        <v/>
      </c>
      <c r="F15" s="3">
        <f>INDEX(Lookup!$B:$B,MATCH($E15,Lookup!$A:$A,0))</f>
        <v/>
      </c>
      <c r="G15" s="3">
        <f>INDEX(Lookup!$C:$C,MATCH($E15,Lookup!$A:$A,0))</f>
        <v/>
      </c>
      <c r="H15" s="1">
        <f>INDEX(Emp!$E:$J,INT((ROW()-2)/6)+2,MOD(ROW()-2,6)+1)</f>
        <v/>
      </c>
    </row>
    <row r="16">
      <c r="A16" s="1">
        <f>INDEX(Emp!$A:$A,INT((ROW()-2)/6)+2)</f>
        <v/>
      </c>
      <c r="B16" s="1">
        <f>INDEX(Emp!$B:$B,INT((ROW()-2)/6)+2)</f>
        <v/>
      </c>
      <c r="C16" s="1">
        <f>INDEX(Emp!$C:$C,INT((ROW()-2)/6)+2)</f>
        <v/>
      </c>
      <c r="D16" s="1">
        <f>INDEX(Emp!$D:$D,INT((ROW()-2)/6)+2)</f>
        <v/>
      </c>
      <c r="E16" s="3">
        <f>INDEX(Emp!$1:$1,1,5+MOD(ROW()-2,6))</f>
        <v/>
      </c>
      <c r="F16" s="3">
        <f>INDEX(Lookup!$B:$B,MATCH($E16,Lookup!$A:$A,0))</f>
        <v/>
      </c>
      <c r="G16" s="3">
        <f>INDEX(Lookup!$C:$C,MATCH($E16,Lookup!$A:$A,0))</f>
        <v/>
      </c>
      <c r="H16" s="1">
        <f>INDEX(Emp!$E:$J,INT((ROW()-2)/6)+2,MOD(ROW()-2,6)+1)</f>
        <v/>
      </c>
    </row>
    <row r="17">
      <c r="A17" s="1">
        <f>INDEX(Emp!$A:$A,INT((ROW()-2)/6)+2)</f>
        <v/>
      </c>
      <c r="B17" s="1">
        <f>INDEX(Emp!$B:$B,INT((ROW()-2)/6)+2)</f>
        <v/>
      </c>
      <c r="C17" s="1">
        <f>INDEX(Emp!$C:$C,INT((ROW()-2)/6)+2)</f>
        <v/>
      </c>
      <c r="D17" s="1">
        <f>INDEX(Emp!$D:$D,INT((ROW()-2)/6)+2)</f>
        <v/>
      </c>
      <c r="E17" s="3">
        <f>INDEX(Emp!$1:$1,1,5+MOD(ROW()-2,6))</f>
        <v/>
      </c>
      <c r="F17" s="3">
        <f>INDEX(Lookup!$B:$B,MATCH($E17,Lookup!$A:$A,0))</f>
        <v/>
      </c>
      <c r="G17" s="3">
        <f>INDEX(Lookup!$C:$C,MATCH($E17,Lookup!$A:$A,0))</f>
        <v/>
      </c>
      <c r="H17" s="1">
        <f>INDEX(Emp!$E:$J,INT((ROW()-2)/6)+2,MOD(ROW()-2,6)+1)</f>
        <v/>
      </c>
    </row>
    <row r="18">
      <c r="A18" s="1">
        <f>INDEX(Emp!$A:$A,INT((ROW()-2)/6)+2)</f>
        <v/>
      </c>
      <c r="B18" s="1">
        <f>INDEX(Emp!$B:$B,INT((ROW()-2)/6)+2)</f>
        <v/>
      </c>
      <c r="C18" s="1">
        <f>INDEX(Emp!$C:$C,INT((ROW()-2)/6)+2)</f>
        <v/>
      </c>
      <c r="D18" s="1">
        <f>INDEX(Emp!$D:$D,INT((ROW()-2)/6)+2)</f>
        <v/>
      </c>
      <c r="E18" s="3">
        <f>INDEX(Emp!$1:$1,1,5+MOD(ROW()-2,6))</f>
        <v/>
      </c>
      <c r="F18" s="3">
        <f>INDEX(Lookup!$B:$B,MATCH($E18,Lookup!$A:$A,0))</f>
        <v/>
      </c>
      <c r="G18" s="3">
        <f>INDEX(Lookup!$C:$C,MATCH($E18,Lookup!$A:$A,0))</f>
        <v/>
      </c>
      <c r="H18" s="1">
        <f>INDEX(Emp!$E:$J,INT((ROW()-2)/6)+2,MOD(ROW()-2,6)+1)</f>
        <v/>
      </c>
    </row>
    <row r="19">
      <c r="A19" s="1">
        <f>INDEX(Emp!$A:$A,INT((ROW()-2)/6)+2)</f>
        <v/>
      </c>
      <c r="B19" s="1">
        <f>INDEX(Emp!$B:$B,INT((ROW()-2)/6)+2)</f>
        <v/>
      </c>
      <c r="C19" s="1">
        <f>INDEX(Emp!$C:$C,INT((ROW()-2)/6)+2)</f>
        <v/>
      </c>
      <c r="D19" s="1">
        <f>INDEX(Emp!$D:$D,INT((ROW()-2)/6)+2)</f>
        <v/>
      </c>
      <c r="E19" s="3">
        <f>INDEX(Emp!$1:$1,1,5+MOD(ROW()-2,6))</f>
        <v/>
      </c>
      <c r="F19" s="3">
        <f>INDEX(Lookup!$B:$B,MATCH($E19,Lookup!$A:$A,0))</f>
        <v/>
      </c>
      <c r="G19" s="3">
        <f>INDEX(Lookup!$C:$C,MATCH($E19,Lookup!$A:$A,0))</f>
        <v/>
      </c>
      <c r="H19" s="1">
        <f>INDEX(Emp!$E:$J,INT((ROW()-2)/6)+2,MOD(ROW()-2,6)+1)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Malyala,Ashok Kumar</dc:creator>
  <dcterms:created xmlns:dcterms="http://purl.org/dc/terms/" xmlns:xsi="http://www.w3.org/2001/XMLSchema-instance" xsi:type="dcterms:W3CDTF">2020-11-25T14:01:36Z</dcterms:created>
  <dcterms:modified xmlns:dcterms="http://purl.org/dc/terms/" xmlns:xsi="http://www.w3.org/2001/XMLSchema-instance" xsi:type="dcterms:W3CDTF">2026-09-06T10:13:10Z</dcterms:modified>
  <cp:lastModifiedBy>QINGHE CHEN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0x0101004374027E93F4FE47B50AFA1422F48312</vt:lpwstr>
  </property>
</Properties>
</file>