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color rgb="FFFF0000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2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workbookViewId="0">
      <selection activeCell="F11" sqref="F11"/>
    </sheetView>
  </sheetViews>
  <sheetFormatPr baseColWidth="8" defaultColWidth="9" defaultRowHeight="14"/>
  <cols>
    <col width="10.7083333333333" customWidth="1" min="1" max="1"/>
    <col width="8.28333333333333" customWidth="1" min="2" max="2"/>
    <col width="11" customWidth="1" min="3" max="3"/>
    <col width="24.9166666666667" customWidth="1" min="4" max="4"/>
    <col width="23.5" customWidth="1" min="5" max="5"/>
    <col width="14.425" customWidth="1" min="6" max="6"/>
  </cols>
  <sheetData>
    <row r="1">
      <c r="A1" s="1" t="inlineStr">
        <is>
          <t>DATE</t>
        </is>
      </c>
      <c r="B1" s="1" t="inlineStr">
        <is>
          <t>REF</t>
        </is>
      </c>
      <c r="C1" s="1" t="inlineStr">
        <is>
          <t>STATUS</t>
        </is>
      </c>
      <c r="D1" s="1" t="inlineStr">
        <is>
          <t>SUBREFS</t>
        </is>
      </c>
      <c r="E1" s="1" t="inlineStr">
        <is>
          <t>Subs?</t>
        </is>
      </c>
      <c r="F1" s="1" t="inlineStr">
        <is>
          <t>No. Subs</t>
        </is>
      </c>
    </row>
    <row r="2">
      <c r="A2" s="2" t="n">
        <v>44570</v>
      </c>
      <c r="B2" t="inlineStr">
        <is>
          <t>EGTRI01</t>
        </is>
      </c>
      <c r="C2" t="inlineStr">
        <is>
          <t>CANCELLED</t>
        </is>
      </c>
      <c r="D2" t="inlineStr">
        <is>
          <t>EGTRI010102</t>
        </is>
      </c>
      <c r="E2" s="3" t="inlineStr">
        <is>
          <t>Yes</t>
        </is>
      </c>
      <c r="F2" s="4">
        <f>IF($C2="CANCELLED",SUMPRODUCT(--ISNUMBER(SEARCH($B2,$D$2:$D$6))),0)</f>
        <v/>
      </c>
    </row>
    <row r="3">
      <c r="A3" s="2" t="n">
        <v>44571</v>
      </c>
      <c r="B3" t="inlineStr">
        <is>
          <t>DONY23</t>
        </is>
      </c>
      <c r="C3" t="inlineStr">
        <is>
          <t>CANCELLED</t>
        </is>
      </c>
      <c r="D3" t="inlineStr">
        <is>
          <t>DONY2301</t>
        </is>
      </c>
      <c r="E3" s="3" t="inlineStr">
        <is>
          <t>Yes</t>
        </is>
      </c>
      <c r="F3" s="4">
        <f>IF($C3="CANCELLED",SUMPRODUCT(--ISNUMBER(SEARCH($B3,$D$2:$D$6))),0)</f>
        <v/>
      </c>
    </row>
    <row r="4">
      <c r="A4" s="2" t="n">
        <v>44572</v>
      </c>
      <c r="B4" t="inlineStr">
        <is>
          <t>FANDU7</t>
        </is>
      </c>
      <c r="C4" t="inlineStr">
        <is>
          <t>CANCELLED</t>
        </is>
      </c>
      <c r="E4" s="3" t="inlineStr">
        <is>
          <t>No</t>
        </is>
      </c>
      <c r="F4" s="4">
        <f>IF($C4="CANCELLED",SUMPRODUCT(--ISNUMBER(SEARCH($B4,$D$2:$D$6))),0)</f>
        <v/>
      </c>
    </row>
    <row r="5">
      <c r="A5" s="2" t="n">
        <v>44573</v>
      </c>
      <c r="B5" t="inlineStr">
        <is>
          <t>EGTRI01</t>
        </is>
      </c>
      <c r="C5" t="inlineStr">
        <is>
          <t>CANCELLED</t>
        </is>
      </c>
      <c r="D5" t="inlineStr">
        <is>
          <t>EGTRI0101</t>
        </is>
      </c>
      <c r="E5" s="3" t="n"/>
      <c r="F5" s="4">
        <f>IF($C5="CANCELLED",SUMPRODUCT(--ISNUMBER(SEARCH($B5,$D$2:$D$6))),0)</f>
        <v/>
      </c>
    </row>
    <row r="6">
      <c r="A6" s="2" t="n">
        <v>44574</v>
      </c>
      <c r="B6" t="inlineStr">
        <is>
          <t>DONY23</t>
        </is>
      </c>
      <c r="C6" t="inlineStr">
        <is>
          <t>CANCELLED</t>
        </is>
      </c>
      <c r="D6" t="inlineStr">
        <is>
          <t>DONY230203</t>
        </is>
      </c>
      <c r="E6" s="3" t="n"/>
      <c r="F6" s="4">
        <f>IF($C6="CANCELLED",SUMPRODUCT(--ISNUMBER(SEARCH($B6,$D$2:$D$6))),0)</f>
        <v/>
      </c>
    </row>
    <row r="7">
      <c r="A7" s="2" t="n"/>
    </row>
    <row r="8">
      <c r="A8" s="2" t="n"/>
    </row>
    <row r="9">
      <c r="A9" s="2" t="n"/>
    </row>
    <row r="10">
      <c r="A10" s="2" t="n"/>
    </row>
    <row r="12" ht="15" customHeight="1">
      <c r="D12" s="5" t="n"/>
      <c r="E12" s="5" t="n"/>
      <c r="F12" s="5" t="n"/>
      <c r="G12" s="5" t="n"/>
      <c r="H12" s="5" t="n"/>
      <c r="I12" s="5" t="n"/>
      <c r="J12" s="5" t="n"/>
      <c r="K12" s="6" t="n"/>
      <c r="L12" s="6" t="n"/>
    </row>
    <row r="13">
      <c r="D13" s="5" t="n"/>
      <c r="E13" s="5" t="n"/>
      <c r="F13" s="5" t="n"/>
      <c r="G13" s="5" t="n"/>
      <c r="H13" s="5" t="n"/>
      <c r="I13" s="5" t="n"/>
      <c r="J13" s="5" t="n"/>
      <c r="K13" s="6" t="n"/>
      <c r="L13" s="6" t="n"/>
    </row>
    <row r="14">
      <c r="D14" s="5" t="n"/>
      <c r="E14" s="5" t="n"/>
      <c r="F14" s="5" t="n"/>
      <c r="G14" s="5" t="n"/>
      <c r="H14" s="5" t="n"/>
      <c r="I14" s="5" t="n"/>
      <c r="J14" s="5" t="n"/>
      <c r="K14" s="6" t="n"/>
      <c r="L14" s="6" t="n"/>
    </row>
    <row r="15">
      <c r="D15" s="5" t="n"/>
      <c r="E15" s="5" t="n"/>
      <c r="F15" s="5" t="n"/>
      <c r="G15" s="5" t="n"/>
      <c r="H15" s="5" t="n"/>
      <c r="I15" s="5" t="n"/>
      <c r="J15" s="5" t="n"/>
      <c r="K15" s="6" t="n"/>
      <c r="L15" s="6" t="n"/>
    </row>
    <row r="16">
      <c r="D16" s="5" t="n"/>
      <c r="E16" s="5" t="n"/>
      <c r="F16" s="5" t="n"/>
      <c r="G16" s="5" t="n"/>
      <c r="H16" s="5" t="n"/>
      <c r="I16" s="5" t="n"/>
      <c r="J16" s="5" t="n"/>
      <c r="K16" s="6" t="n"/>
      <c r="L16" s="6" t="n"/>
    </row>
    <row r="17">
      <c r="D17" s="5" t="n"/>
      <c r="E17" s="5" t="n"/>
      <c r="F17" s="5" t="n"/>
      <c r="G17" s="5" t="n"/>
      <c r="H17" s="5" t="n"/>
      <c r="I17" s="5" t="n"/>
      <c r="J17" s="5" t="n"/>
      <c r="K17" s="6" t="n"/>
      <c r="L17" s="6" t="n"/>
    </row>
    <row r="18"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.</dc:creator>
  <dcterms:created xmlns:dcterms="http://purl.org/dc/terms/" xmlns:xsi="http://www.w3.org/2001/XMLSchema-instance" xsi:type="dcterms:W3CDTF">2023-01-12T13:00:00Z</dcterms:created>
  <dcterms:modified xmlns:dcterms="http://purl.org/dc/terms/" xmlns:xsi="http://www.w3.org/2001/XMLSchema-instance" xsi:type="dcterms:W3CDTF">2026-09-06T10:10:59Z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89DC7D516B62412281856FC50059BD0A_13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