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Arial"/>
      <family val="2"/>
      <color rgb="FF222222"/>
      <sz val="9"/>
    </font>
    <font>
      <name val="Arial"/>
      <family val="2"/>
      <b val="1"/>
      <color rgb="FF222222"/>
      <sz val="9"/>
    </font>
    <font>
      <name val="等线"/>
      <family val="2"/>
      <color theme="10"/>
      <sz val="11"/>
      <u val="single"/>
      <scheme val="minor"/>
    </font>
    <font>
      <name val="Calibri"/>
      <family val="2"/>
      <color indexed="0"/>
      <sz val="10"/>
    </font>
    <font>
      <name val="Calibri"/>
      <family val="2"/>
      <b val="1"/>
      <sz val="10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12">
    <xf numFmtId="0" fontId="0" fillId="0" borderId="0" pivotButton="0" quotePrefix="0" xfId="0"/>
    <xf numFmtId="0" fontId="1" fillId="0" borderId="0" pivotButton="0" quotePrefix="0" xfId="1"/>
    <xf numFmtId="0" fontId="3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2">
      <alignment horizontal="left" vertical="center" wrapText="1" indent="1"/>
    </xf>
    <xf numFmtId="0" fontId="7" fillId="2" borderId="2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center" wrapText="1" indent="1"/>
    </xf>
    <xf numFmtId="0" fontId="4" fillId="3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2" fillId="4" borderId="0" pivotButton="0" quotePrefix="0" xfId="0"/>
    <xf numFmtId="0" fontId="6" fillId="5" borderId="1" applyAlignment="1" pivotButton="0" quotePrefix="0" xfId="0">
      <alignment horizontal="left" vertical="top"/>
    </xf>
    <xf numFmtId="0" fontId="6" fillId="5" borderId="1" applyAlignment="1" pivotButton="0" quotePrefix="0" xfId="0">
      <alignment horizontal="right" vertical="top"/>
    </xf>
    <xf numFmtId="0" fontId="2" fillId="6" borderId="0" pivotButton="0" quotePrefix="0" xfId="0"/>
  </cellXfs>
  <cellStyles count="3">
    <cellStyle name="常规" xfId="0" builtinId="0"/>
    <cellStyle name="Normal 13" xfId="1"/>
    <cellStyle name="超链接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guru99.com/performance-testing.html" TargetMode="External" Id="rId1"/><Relationship Type="http://schemas.openxmlformats.org/officeDocument/2006/relationships/hyperlink" Target="https://www.guru99.com/what-is-security-testing.html" TargetMode="External" Id="rId2"/><Relationship Type="http://schemas.openxmlformats.org/officeDocument/2006/relationships/hyperlink" Target="https://www.guru99.com/automation-testing.html" TargetMode="External" Id="rId3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71"/>
  <sheetViews>
    <sheetView tabSelected="1" topLeftCell="A46" workbookViewId="0">
      <selection activeCell="F48" sqref="F48:F63"/>
    </sheetView>
  </sheetViews>
  <sheetFormatPr baseColWidth="8" defaultRowHeight="14" outlineLevelCol="0"/>
  <cols>
    <col width="45.5" customWidth="1" min="4" max="4"/>
    <col width="25.25" bestFit="1" customWidth="1" min="5" max="5"/>
    <col width="16" bestFit="1" customWidth="1" min="6" max="6"/>
    <col width="17.6640625" bestFit="1" customWidth="1" min="9" max="9"/>
  </cols>
  <sheetData>
    <row r="1">
      <c r="A1" s="9" t="inlineStr">
        <is>
          <t>Source</t>
        </is>
      </c>
      <c r="B1" s="9" t="inlineStr">
        <is>
          <t>Co Code</t>
        </is>
      </c>
      <c r="C1" s="10" t="inlineStr">
        <is>
          <t>Account</t>
        </is>
      </c>
      <c r="D1" s="4" t="inlineStr">
        <is>
          <t>MAPPED</t>
        </is>
      </c>
      <c r="E1" s="4" t="inlineStr">
        <is>
          <t>CORE VALUE</t>
        </is>
      </c>
      <c r="F1" s="8" t="inlineStr">
        <is>
          <t>EXPECTED RESULT</t>
        </is>
      </c>
    </row>
    <row r="2">
      <c r="A2" s="1" t="inlineStr">
        <is>
          <t>Total External</t>
        </is>
      </c>
      <c r="B2" s="1" t="inlineStr">
        <is>
          <t>None</t>
        </is>
      </c>
      <c r="C2" s="1" t="inlineStr">
        <is>
          <t>None</t>
        </is>
      </c>
      <c r="D2" t="inlineStr">
        <is>
          <t>VoIP technologies</t>
        </is>
      </c>
      <c r="E2" t="inlineStr">
        <is>
          <t xml:space="preserve"> VoIP, IMS, MPLS, ISDN, PSTN</t>
        </is>
      </c>
      <c r="F2">
        <f>IF(OR(ISNUMBER(SEARCH("Core Activation",D2)),ISNUMBER(SEARCH("Core Design",D2)),ISNUMBER(SEARCH("Mobile Terminology",D2)),ISNUMBER(SEARCH("Mobile Design",D2)),ISNUMBER(SEARCH("Mobile Integration",D2)),ISNUMBER(SEARCH("Testing Layer",D2)),ISNUMBER(SEARCH("Testing Offshore",D2)),ISNUMBER(SEARCH("Carrier",D2)),ISNUMBER(SEARCH("Barrier",D2)),ISNUMBER(SEARCH("Tesing",D2))),"Billing PO","")</f>
        <v/>
      </c>
    </row>
    <row r="3">
      <c r="A3" s="1" t="inlineStr">
        <is>
          <t>Manufacturing</t>
        </is>
      </c>
      <c r="B3" s="1" t="inlineStr">
        <is>
          <t>CEXTCE</t>
        </is>
      </c>
      <c r="C3" s="1" t="inlineStr">
        <is>
          <t>Total External</t>
        </is>
      </c>
      <c r="D3" s="6" t="inlineStr">
        <is>
          <t>Core Activation Signaling and Protocols</t>
        </is>
      </c>
      <c r="E3" t="inlineStr">
        <is>
          <t xml:space="preserve"> SIP, ISDN, Codecs, H.323</t>
        </is>
      </c>
      <c r="F3">
        <f>IF(OR(ISNUMBER(SEARCH("Core Activation",D3)),ISNUMBER(SEARCH("Core Design",D3)),ISNUMBER(SEARCH("Mobile Terminology",D3)),ISNUMBER(SEARCH("Mobile Design",D3)),ISNUMBER(SEARCH("Mobile Integration",D3)),ISNUMBER(SEARCH("Testing Layer",D3)),ISNUMBER(SEARCH("Testing Offshore",D3)),ISNUMBER(SEARCH("Carrier",D3)),ISNUMBER(SEARCH("Barrier",D3)),ISNUMBER(SEARCH("Tesing",D3))),"Billing PO","")</f>
        <v/>
      </c>
      <c r="I3" s="8" t="inlineStr">
        <is>
          <t>SHORT KEYS</t>
        </is>
      </c>
    </row>
    <row r="4">
      <c r="A4" s="1" t="inlineStr">
        <is>
          <t>Front Porch Digital WWOPS</t>
        </is>
      </c>
      <c r="B4" s="1" t="inlineStr">
        <is>
          <t>EXT023</t>
        </is>
      </c>
      <c r="C4" s="1" t="inlineStr">
        <is>
          <t>Manufacturing</t>
        </is>
      </c>
      <c r="D4" s="6" t="inlineStr">
        <is>
          <t>Core Design Wireless technologies</t>
        </is>
      </c>
      <c r="E4" t="inlineStr">
        <is>
          <t xml:space="preserve"> GPRS, CDMA, GSM, UMTS</t>
        </is>
      </c>
      <c r="F4">
        <f>IF(OR(ISNUMBER(SEARCH("Core Activation",D4)),ISNUMBER(SEARCH("Core Design",D4)),ISNUMBER(SEARCH("Mobile Terminology",D4)),ISNUMBER(SEARCH("Mobile Design",D4)),ISNUMBER(SEARCH("Mobile Integration",D4)),ISNUMBER(SEARCH("Testing Layer",D4)),ISNUMBER(SEARCH("Testing Offshore",D4)),ISNUMBER(SEARCH("Carrier",D4)),ISNUMBER(SEARCH("Barrier",D4)),ISNUMBER(SEARCH("Tesing",D4))),"Billing PO","")</f>
        <v/>
      </c>
      <c r="I4" s="11" t="inlineStr">
        <is>
          <t>Core Activation</t>
        </is>
      </c>
    </row>
    <row r="5">
      <c r="A5" s="1" t="inlineStr">
        <is>
          <t>11H - Front Porch Digital WWOPS</t>
        </is>
      </c>
      <c r="B5" s="1" t="inlineStr">
        <is>
          <t>LB011H</t>
        </is>
      </c>
      <c r="C5" s="1" t="inlineStr">
        <is>
          <t>Front Porch Digital WWOPS</t>
        </is>
      </c>
      <c r="D5" s="6" t="inlineStr">
        <is>
          <t>Mobile Terminology Network Management</t>
        </is>
      </c>
      <c r="E5" t="inlineStr">
        <is>
          <t xml:space="preserve"> SNMP</t>
        </is>
      </c>
      <c r="F5">
        <f>IF(OR(ISNUMBER(SEARCH("Core Activation",D5)),ISNUMBER(SEARCH("Core Design",D5)),ISNUMBER(SEARCH("Mobile Terminology",D5)),ISNUMBER(SEARCH("Mobile Design",D5)),ISNUMBER(SEARCH("Mobile Integration",D5)),ISNUMBER(SEARCH("Testing Layer",D5)),ISNUMBER(SEARCH("Testing Offshore",D5)),ISNUMBER(SEARCH("Carrier",D5)),ISNUMBER(SEARCH("Barrier",D5)),ISNUMBER(SEARCH("Tesing",D5))),"Billing PO","")</f>
        <v/>
      </c>
      <c r="I5" s="11" t="inlineStr">
        <is>
          <t>Core Design</t>
        </is>
      </c>
    </row>
    <row r="6">
      <c r="A6" s="1" t="inlineStr">
        <is>
          <t>Outgoing Manufacturing</t>
        </is>
      </c>
      <c r="B6" s="1" t="inlineStr">
        <is>
          <t>EXT023</t>
        </is>
      </c>
      <c r="C6" s="1" t="inlineStr">
        <is>
          <t>Manufacturing</t>
        </is>
      </c>
      <c r="D6" s="6" t="inlineStr">
        <is>
          <t>Mobile Design Layer 2 Protocols</t>
        </is>
      </c>
      <c r="E6" t="inlineStr">
        <is>
          <t xml:space="preserve"> ARP, STP, L2TP, PPP</t>
        </is>
      </c>
      <c r="F6">
        <f>IF(OR(ISNUMBER(SEARCH("Core Activation",D6)),ISNUMBER(SEARCH("Core Design",D6)),ISNUMBER(SEARCH("Mobile Terminology",D6)),ISNUMBER(SEARCH("Mobile Design",D6)),ISNUMBER(SEARCH("Mobile Integration",D6)),ISNUMBER(SEARCH("Testing Layer",D6)),ISNUMBER(SEARCH("Testing Offshore",D6)),ISNUMBER(SEARCH("Carrier",D6)),ISNUMBER(SEARCH("Barrier",D6)),ISNUMBER(SEARCH("Tesing",D6))),"Billing PO","")</f>
        <v/>
      </c>
      <c r="I6" s="11" t="inlineStr">
        <is>
          <t>Mobile Terminology</t>
        </is>
      </c>
    </row>
    <row r="7">
      <c r="A7" s="1" t="inlineStr">
        <is>
          <t>15B - Outgoing Manufacturing</t>
        </is>
      </c>
      <c r="B7" s="1" t="inlineStr">
        <is>
          <t>LB015B</t>
        </is>
      </c>
      <c r="C7" s="1" t="inlineStr">
        <is>
          <t>Outgoing Manufacturing</t>
        </is>
      </c>
      <c r="D7" s="6" t="inlineStr">
        <is>
          <t>Tesing  Layer 3 protocols/routing</t>
        </is>
      </c>
      <c r="E7" t="inlineStr">
        <is>
          <t xml:space="preserve"> ICMP, BGP, ISIS, MPLS</t>
        </is>
      </c>
      <c r="F7">
        <f>IF(OR(ISNUMBER(SEARCH("Core Activation",D7)),ISNUMBER(SEARCH("Core Design",D7)),ISNUMBER(SEARCH("Mobile Terminology",D7)),ISNUMBER(SEARCH("Mobile Design",D7)),ISNUMBER(SEARCH("Mobile Integration",D7)),ISNUMBER(SEARCH("Testing Layer",D7)),ISNUMBER(SEARCH("Testing Offshore",D7)),ISNUMBER(SEARCH("Carrier",D7)),ISNUMBER(SEARCH("Barrier",D7)),ISNUMBER(SEARCH("Tesing",D7))),"Billing PO","")</f>
        <v/>
      </c>
      <c r="I7" s="11" t="inlineStr">
        <is>
          <t>Mobile Design</t>
        </is>
      </c>
    </row>
    <row r="8">
      <c r="A8" s="1" t="inlineStr">
        <is>
          <t>WWOPS-ACME Packet</t>
        </is>
      </c>
      <c r="B8" s="1" t="inlineStr">
        <is>
          <t>EXT023</t>
        </is>
      </c>
      <c r="C8" s="1" t="inlineStr">
        <is>
          <t>Manufacturing</t>
        </is>
      </c>
      <c r="D8" s="6" t="inlineStr">
        <is>
          <t>Testing Offshore  Infrastructure/Security</t>
        </is>
      </c>
      <c r="E8" t="inlineStr">
        <is>
          <t xml:space="preserve"> ATM, TCP/IP, LAN/VLAN, SSH</t>
        </is>
      </c>
      <c r="F8">
        <f>IF(OR(ISNUMBER(SEARCH("Core Activation",D8)),ISNUMBER(SEARCH("Core Design",D8)),ISNUMBER(SEARCH("Mobile Terminology",D8)),ISNUMBER(SEARCH("Mobile Design",D8)),ISNUMBER(SEARCH("Mobile Integration",D8)),ISNUMBER(SEARCH("Testing Layer",D8)),ISNUMBER(SEARCH("Testing Offshore",D8)),ISNUMBER(SEARCH("Carrier",D8)),ISNUMBER(SEARCH("Barrier",D8)),ISNUMBER(SEARCH("Tesing",D8))),"Billing PO","")</f>
        <v/>
      </c>
      <c r="I8" s="11" t="inlineStr">
        <is>
          <t>Mobile Intergration</t>
        </is>
      </c>
    </row>
    <row r="9">
      <c r="A9" s="1" t="inlineStr">
        <is>
          <t>1AF - WWOPS-ACME Packet</t>
        </is>
      </c>
      <c r="B9" s="1" t="inlineStr">
        <is>
          <t>LB01AF</t>
        </is>
      </c>
      <c r="C9" s="1" t="inlineStr">
        <is>
          <t>WWOPS-ACME Packet</t>
        </is>
      </c>
      <c r="D9" s="2" t="inlineStr">
        <is>
          <t>Acceptance test artifacts</t>
        </is>
      </c>
      <c r="E9">
        <f>E2</f>
        <v/>
      </c>
      <c r="F9">
        <f>IF(OR(ISNUMBER(SEARCH("Core Activation",D9)),ISNUMBER(SEARCH("Core Design",D9)),ISNUMBER(SEARCH("Mobile Terminology",D9)),ISNUMBER(SEARCH("Mobile Design",D9)),ISNUMBER(SEARCH("Mobile Integration",D9)),ISNUMBER(SEARCH("Testing Layer",D9)),ISNUMBER(SEARCH("Testing Offshore",D9)),ISNUMBER(SEARCH("Carrier",D9)),ISNUMBER(SEARCH("Barrier",D9)),ISNUMBER(SEARCH("Tesing",D9))),"Billing PO","")</f>
        <v/>
      </c>
      <c r="I9" s="11" t="inlineStr">
        <is>
          <t>Testing Layer</t>
        </is>
      </c>
    </row>
    <row r="10">
      <c r="A10" s="1" t="inlineStr">
        <is>
          <t>WWOPS -Tekelec</t>
        </is>
      </c>
      <c r="B10" s="1" t="inlineStr">
        <is>
          <t>EXT023</t>
        </is>
      </c>
      <c r="C10" s="1" t="inlineStr">
        <is>
          <t>Manufacturing</t>
        </is>
      </c>
      <c r="D10" s="2" t="inlineStr">
        <is>
          <t>Integration test artifacts</t>
        </is>
      </c>
      <c r="E10">
        <f>E3</f>
        <v/>
      </c>
      <c r="F10">
        <f>IF(OR(ISNUMBER(SEARCH("Core Activation",D10)),ISNUMBER(SEARCH("Core Design",D10)),ISNUMBER(SEARCH("Mobile Terminology",D10)),ISNUMBER(SEARCH("Mobile Design",D10)),ISNUMBER(SEARCH("Mobile Integration",D10)),ISNUMBER(SEARCH("Testing Layer",D10)),ISNUMBER(SEARCH("Testing Offshore",D10)),ISNUMBER(SEARCH("Carrier",D10)),ISNUMBER(SEARCH("Barrier",D10)),ISNUMBER(SEARCH("Tesing",D10))),"Billing PO","")</f>
        <v/>
      </c>
      <c r="I10" s="11" t="inlineStr">
        <is>
          <t>Testing Offshore</t>
        </is>
      </c>
    </row>
    <row r="11">
      <c r="A11" s="1" t="inlineStr">
        <is>
          <t xml:space="preserve">2BF - WWOPS -Tekelec </t>
        </is>
      </c>
      <c r="B11" s="1" t="inlineStr">
        <is>
          <t>LB02BF</t>
        </is>
      </c>
      <c r="C11" s="1" t="inlineStr">
        <is>
          <t>WWOPS -Tekelec</t>
        </is>
      </c>
      <c r="D11" s="2" t="inlineStr">
        <is>
          <t>Quality and performance artifacts</t>
        </is>
      </c>
      <c r="E11">
        <f>E4</f>
        <v/>
      </c>
      <c r="F11">
        <f>IF(OR(ISNUMBER(SEARCH("Core Activation",D11)),ISNUMBER(SEARCH("Core Design",D11)),ISNUMBER(SEARCH("Mobile Terminology",D11)),ISNUMBER(SEARCH("Mobile Design",D11)),ISNUMBER(SEARCH("Mobile Integration",D11)),ISNUMBER(SEARCH("Testing Layer",D11)),ISNUMBER(SEARCH("Testing Offshore",D11)),ISNUMBER(SEARCH("Carrier",D11)),ISNUMBER(SEARCH("Barrier",D11)),ISNUMBER(SEARCH("Tesing",D11))),"Billing PO","")</f>
        <v/>
      </c>
      <c r="I11" s="11" t="inlineStr">
        <is>
          <t>Carrier</t>
        </is>
      </c>
    </row>
    <row r="12">
      <c r="A12" s="1" t="inlineStr">
        <is>
          <t>WWOPS Micros</t>
        </is>
      </c>
      <c r="B12" s="1" t="inlineStr">
        <is>
          <t>EXT023</t>
        </is>
      </c>
      <c r="C12" s="1" t="inlineStr">
        <is>
          <t>Manufacturing</t>
        </is>
      </c>
      <c r="D12" s="2" t="inlineStr">
        <is>
          <t>Functional test artifacts</t>
        </is>
      </c>
      <c r="E12">
        <f>E5</f>
        <v/>
      </c>
      <c r="F12">
        <f>IF(OR(ISNUMBER(SEARCH("Core Activation",D12)),ISNUMBER(SEARCH("Core Design",D12)),ISNUMBER(SEARCH("Mobile Terminology",D12)),ISNUMBER(SEARCH("Mobile Design",D12)),ISNUMBER(SEARCH("Mobile Integration",D12)),ISNUMBER(SEARCH("Testing Layer",D12)),ISNUMBER(SEARCH("Testing Offshore",D12)),ISNUMBER(SEARCH("Carrier",D12)),ISNUMBER(SEARCH("Barrier",D12)),ISNUMBER(SEARCH("Tesing",D12))),"Billing PO","")</f>
        <v/>
      </c>
      <c r="I12" s="11" t="inlineStr">
        <is>
          <t>Barrier</t>
        </is>
      </c>
    </row>
    <row r="13">
      <c r="A13" s="1" t="inlineStr">
        <is>
          <t>3GF - WWOPS Micros</t>
        </is>
      </c>
      <c r="B13" s="1" t="inlineStr">
        <is>
          <t>LB03GF</t>
        </is>
      </c>
      <c r="C13" s="1" t="inlineStr">
        <is>
          <t>WWOPS Micros</t>
        </is>
      </c>
      <c r="D13" s="2" t="inlineStr">
        <is>
          <t>Alpha/Beta test artifacts</t>
        </is>
      </c>
      <c r="E13">
        <f>E6</f>
        <v/>
      </c>
      <c r="F13">
        <f>IF(OR(ISNUMBER(SEARCH("Core Activation",D13)),ISNUMBER(SEARCH("Core Design",D13)),ISNUMBER(SEARCH("Mobile Terminology",D13)),ISNUMBER(SEARCH("Mobile Design",D13)),ISNUMBER(SEARCH("Mobile Integration",D13)),ISNUMBER(SEARCH("Testing Layer",D13)),ISNUMBER(SEARCH("Testing Offshore",D13)),ISNUMBER(SEARCH("Carrier",D13)),ISNUMBER(SEARCH("Barrier",D13)),ISNUMBER(SEARCH("Tesing",D13))),"Billing PO","")</f>
        <v/>
      </c>
    </row>
    <row r="14">
      <c r="A14" s="1" t="inlineStr">
        <is>
          <t>Manufacturing reclass ext. 023</t>
        </is>
      </c>
      <c r="B14" s="1" t="inlineStr">
        <is>
          <t>EXT023</t>
        </is>
      </c>
      <c r="C14" s="1" t="inlineStr">
        <is>
          <t>Manufacturing</t>
        </is>
      </c>
      <c r="D14" s="2" t="inlineStr">
        <is>
          <t>Unit test artifacts</t>
        </is>
      </c>
      <c r="E14">
        <f>E7</f>
        <v/>
      </c>
      <c r="F14">
        <f>IF(OR(ISNUMBER(SEARCH("Core Activation",D14)),ISNUMBER(SEARCH("Core Design",D14)),ISNUMBER(SEARCH("Mobile Terminology",D14)),ISNUMBER(SEARCH("Mobile Design",D14)),ISNUMBER(SEARCH("Mobile Integration",D14)),ISNUMBER(SEARCH("Testing Layer",D14)),ISNUMBER(SEARCH("Testing Offshore",D14)),ISNUMBER(SEARCH("Carrier",D14)),ISNUMBER(SEARCH("Barrier",D14)),ISNUMBER(SEARCH("Tesing",D14))),"Billing PO","")</f>
        <v/>
      </c>
    </row>
    <row r="15">
      <c r="A15" s="1" t="inlineStr">
        <is>
          <t>41B - Manufacturing reclass ext. 023</t>
        </is>
      </c>
      <c r="B15" s="1" t="inlineStr">
        <is>
          <t>LB041B</t>
        </is>
      </c>
      <c r="C15" s="1" t="inlineStr">
        <is>
          <t>Manufacturing reclass ext. 023</t>
        </is>
      </c>
      <c r="D15" s="2" t="inlineStr">
        <is>
          <t>Integration test artifacts</t>
        </is>
      </c>
      <c r="E15">
        <f>E8</f>
        <v/>
      </c>
      <c r="F15">
        <f>IF(OR(ISNUMBER(SEARCH("Core Activation",D15)),ISNUMBER(SEARCH("Core Design",D15)),ISNUMBER(SEARCH("Mobile Terminology",D15)),ISNUMBER(SEARCH("Mobile Design",D15)),ISNUMBER(SEARCH("Mobile Integration",D15)),ISNUMBER(SEARCH("Testing Layer",D15)),ISNUMBER(SEARCH("Testing Offshore",D15)),ISNUMBER(SEARCH("Carrier",D15)),ISNUMBER(SEARCH("Barrier",D15)),ISNUMBER(SEARCH("Tesing",D15))),"Billing PO","")</f>
        <v/>
      </c>
    </row>
    <row r="16">
      <c r="A16" s="1" t="inlineStr">
        <is>
          <t>WWOPS Tooling NPI</t>
        </is>
      </c>
      <c r="B16" s="1" t="inlineStr">
        <is>
          <t>EXT023</t>
        </is>
      </c>
      <c r="C16" s="1" t="inlineStr">
        <is>
          <t>Manufacturing</t>
        </is>
      </c>
      <c r="D16" s="2" t="inlineStr">
        <is>
          <t>Quality and performance artifacts</t>
        </is>
      </c>
      <c r="E16">
        <f>E9</f>
        <v/>
      </c>
      <c r="F16">
        <f>IF(OR(ISNUMBER(SEARCH("Core Activation",D16)),ISNUMBER(SEARCH("Core Design",D16)),ISNUMBER(SEARCH("Mobile Terminology",D16)),ISNUMBER(SEARCH("Mobile Design",D16)),ISNUMBER(SEARCH("Mobile Integration",D16)),ISNUMBER(SEARCH("Testing Layer",D16)),ISNUMBER(SEARCH("Testing Offshore",D16)),ISNUMBER(SEARCH("Carrier",D16)),ISNUMBER(SEARCH("Barrier",D16)),ISNUMBER(SEARCH("Tesing",D16))),"Billing PO","")</f>
        <v/>
      </c>
    </row>
    <row r="17">
      <c r="A17" s="1" t="inlineStr">
        <is>
          <t>5XB - WWOPS Tooling NPI</t>
        </is>
      </c>
      <c r="B17" s="1" t="inlineStr">
        <is>
          <t>LB05XB</t>
        </is>
      </c>
      <c r="C17" s="1" t="inlineStr">
        <is>
          <t>WWOPS Tooling NPI</t>
        </is>
      </c>
      <c r="D17" s="2" t="inlineStr">
        <is>
          <t>Regression, load testing, sanity, etc.</t>
        </is>
      </c>
      <c r="E17">
        <f>E10</f>
        <v/>
      </c>
      <c r="F17">
        <f>IF(OR(ISNUMBER(SEARCH("Core Activation",D17)),ISNUMBER(SEARCH("Core Design",D17)),ISNUMBER(SEARCH("Mobile Terminology",D17)),ISNUMBER(SEARCH("Mobile Design",D17)),ISNUMBER(SEARCH("Mobile Integration",D17)),ISNUMBER(SEARCH("Testing Layer",D17)),ISNUMBER(SEARCH("Testing Offshore",D17)),ISNUMBER(SEARCH("Carrier",D17)),ISNUMBER(SEARCH("Barrier",D17)),ISNUMBER(SEARCH("Tesing",D17))),"Billing PO","")</f>
        <v/>
      </c>
    </row>
    <row r="18">
      <c r="A18" s="1" t="inlineStr">
        <is>
          <t>WWOPS Tooling Sustaining</t>
        </is>
      </c>
      <c r="B18" s="1" t="inlineStr">
        <is>
          <t>EXT023</t>
        </is>
      </c>
      <c r="C18" s="1" t="inlineStr">
        <is>
          <t>Manufacturing</t>
        </is>
      </c>
      <c r="D18" s="2" t="inlineStr">
        <is>
          <t>Interconnection Testing</t>
        </is>
      </c>
      <c r="E18">
        <f>E11</f>
        <v/>
      </c>
      <c r="F18">
        <f>IF(OR(ISNUMBER(SEARCH("Core Activation",D18)),ISNUMBER(SEARCH("Core Design",D18)),ISNUMBER(SEARCH("Mobile Terminology",D18)),ISNUMBER(SEARCH("Mobile Design",D18)),ISNUMBER(SEARCH("Mobile Integration",D18)),ISNUMBER(SEARCH("Testing Layer",D18)),ISNUMBER(SEARCH("Testing Offshore",D18)),ISNUMBER(SEARCH("Carrier",D18)),ISNUMBER(SEARCH("Barrier",D18)),ISNUMBER(SEARCH("Tesing",D18))),"Billing PO","")</f>
        <v/>
      </c>
    </row>
    <row r="19">
      <c r="A19" s="1" t="inlineStr">
        <is>
          <t>5YB - WWOPS Tooling Sustaining</t>
        </is>
      </c>
      <c r="B19" s="1" t="inlineStr">
        <is>
          <t>LB05YB</t>
        </is>
      </c>
      <c r="C19" s="1" t="inlineStr">
        <is>
          <t>WWOPS Tooling Sustaining</t>
        </is>
      </c>
      <c r="D19" s="2" t="inlineStr">
        <is>
          <t>Conformance Testing</t>
        </is>
      </c>
      <c r="E19">
        <f>E12</f>
        <v/>
      </c>
      <c r="F19">
        <f>IF(OR(ISNUMBER(SEARCH("Core Activation",D19)),ISNUMBER(SEARCH("Core Design",D19)),ISNUMBER(SEARCH("Mobile Terminology",D19)),ISNUMBER(SEARCH("Mobile Design",D19)),ISNUMBER(SEARCH("Mobile Integration",D19)),ISNUMBER(SEARCH("Testing Layer",D19)),ISNUMBER(SEARCH("Testing Offshore",D19)),ISNUMBER(SEARCH("Carrier",D19)),ISNUMBER(SEARCH("Barrier",D19)),ISNUMBER(SEARCH("Tesing",D19))),"Billing PO","")</f>
        <v/>
      </c>
    </row>
    <row r="20">
      <c r="A20" s="1" t="inlineStr">
        <is>
          <t>WWOPS Tooling CIP</t>
        </is>
      </c>
      <c r="B20" s="1" t="inlineStr">
        <is>
          <t>EXT023</t>
        </is>
      </c>
      <c r="C20" s="1" t="inlineStr">
        <is>
          <t>Manufacturing</t>
        </is>
      </c>
      <c r="D20" s="5" t="inlineStr">
        <is>
          <t>Carrier IVR Testing</t>
        </is>
      </c>
      <c r="E20">
        <f>E13</f>
        <v/>
      </c>
      <c r="F20">
        <f>IF(OR(ISNUMBER(SEARCH("Core Activation",D20)),ISNUMBER(SEARCH("Core Design",D20)),ISNUMBER(SEARCH("Mobile Terminology",D20)),ISNUMBER(SEARCH("Mobile Design",D20)),ISNUMBER(SEARCH("Mobile Integration",D20)),ISNUMBER(SEARCH("Testing Layer",D20)),ISNUMBER(SEARCH("Testing Offshore",D20)),ISNUMBER(SEARCH("Carrier",D20)),ISNUMBER(SEARCH("Barrier",D20)),ISNUMBER(SEARCH("Tesing",D20))),"Billing PO","")</f>
        <v/>
      </c>
    </row>
    <row r="21">
      <c r="A21" s="1" t="inlineStr">
        <is>
          <t>5ZB - WWOPS Tooling CIP</t>
        </is>
      </c>
      <c r="B21" s="1" t="inlineStr">
        <is>
          <t>LB05ZB</t>
        </is>
      </c>
      <c r="C21" s="1" t="inlineStr">
        <is>
          <t>WWOPS Tooling CIP</t>
        </is>
      </c>
      <c r="D21" s="3" t="inlineStr">
        <is>
          <t>Performance Testing</t>
        </is>
      </c>
      <c r="E21">
        <f>E14</f>
        <v/>
      </c>
      <c r="F21">
        <f>IF(OR(ISNUMBER(SEARCH("Core Activation",D21)),ISNUMBER(SEARCH("Core Design",D21)),ISNUMBER(SEARCH("Mobile Terminology",D21)),ISNUMBER(SEARCH("Mobile Design",D21)),ISNUMBER(SEARCH("Mobile Integration",D21)),ISNUMBER(SEARCH("Testing Layer",D21)),ISNUMBER(SEARCH("Testing Offshore",D21)),ISNUMBER(SEARCH("Carrier",D21)),ISNUMBER(SEARCH("Barrier",D21)),ISNUMBER(SEARCH("Tesing",D21))),"Billing PO","")</f>
        <v/>
      </c>
    </row>
    <row r="22">
      <c r="A22" s="1" t="inlineStr">
        <is>
          <t>RHO Administration</t>
        </is>
      </c>
      <c r="B22" s="1" t="inlineStr">
        <is>
          <t>EXT023</t>
        </is>
      </c>
      <c r="C22" s="1" t="inlineStr">
        <is>
          <t>Manufacturing</t>
        </is>
      </c>
      <c r="D22" s="3" t="inlineStr">
        <is>
          <t>Security Testing</t>
        </is>
      </c>
      <c r="E22">
        <f>E15</f>
        <v/>
      </c>
      <c r="F22">
        <f>IF(OR(ISNUMBER(SEARCH("Core Activation",D22)),ISNUMBER(SEARCH("Core Design",D22)),ISNUMBER(SEARCH("Mobile Terminology",D22)),ISNUMBER(SEARCH("Mobile Design",D22)),ISNUMBER(SEARCH("Mobile Integration",D22)),ISNUMBER(SEARCH("Testing Layer",D22)),ISNUMBER(SEARCH("Testing Offshore",D22)),ISNUMBER(SEARCH("Carrier",D22)),ISNUMBER(SEARCH("Barrier",D22)),ISNUMBER(SEARCH("Tesing",D22))),"Billing PO","")</f>
        <v/>
      </c>
    </row>
    <row r="23">
      <c r="A23" s="1" t="inlineStr">
        <is>
          <t>60B - RHO Administration</t>
        </is>
      </c>
      <c r="B23" s="1" t="inlineStr">
        <is>
          <t>LB060B</t>
        </is>
      </c>
      <c r="C23" s="1" t="inlineStr">
        <is>
          <t>RHO Administration</t>
        </is>
      </c>
      <c r="D23" s="2" t="inlineStr">
        <is>
          <t>Interoperability Testing</t>
        </is>
      </c>
      <c r="E23">
        <f>E16</f>
        <v/>
      </c>
      <c r="F23">
        <f>IF(OR(ISNUMBER(SEARCH("Core Activation",D23)),ISNUMBER(SEARCH("Core Design",D23)),ISNUMBER(SEARCH("Mobile Terminology",D23)),ISNUMBER(SEARCH("Mobile Design",D23)),ISNUMBER(SEARCH("Mobile Integration",D23)),ISNUMBER(SEARCH("Testing Layer",D23)),ISNUMBER(SEARCH("Testing Offshore",D23)),ISNUMBER(SEARCH("Carrier",D23)),ISNUMBER(SEARCH("Barrier",D23)),ISNUMBER(SEARCH("Tesing",D23))),"Billing PO","")</f>
        <v/>
      </c>
    </row>
    <row r="24">
      <c r="A24" s="1" t="inlineStr">
        <is>
          <t>RHO Quality Management Systems</t>
        </is>
      </c>
      <c r="B24" s="1" t="inlineStr">
        <is>
          <t>EXT023</t>
        </is>
      </c>
      <c r="C24" s="1" t="inlineStr">
        <is>
          <t>Manufacturing</t>
        </is>
      </c>
      <c r="D24" s="2" t="inlineStr">
        <is>
          <t>Protocol Testing</t>
        </is>
      </c>
      <c r="E24">
        <f>E17</f>
        <v/>
      </c>
      <c r="F24">
        <f>IF(OR(ISNUMBER(SEARCH("Core Activation",D24)),ISNUMBER(SEARCH("Core Design",D24)),ISNUMBER(SEARCH("Mobile Terminology",D24)),ISNUMBER(SEARCH("Mobile Design",D24)),ISNUMBER(SEARCH("Mobile Integration",D24)),ISNUMBER(SEARCH("Testing Layer",D24)),ISNUMBER(SEARCH("Testing Offshore",D24)),ISNUMBER(SEARCH("Carrier",D24)),ISNUMBER(SEARCH("Barrier",D24)),ISNUMBER(SEARCH("Tesing",D24))),"Billing PO","")</f>
        <v/>
      </c>
    </row>
    <row r="25">
      <c r="A25" s="1" t="inlineStr">
        <is>
          <t>61B - RHO Quality Management Systems</t>
        </is>
      </c>
      <c r="B25" s="1" t="inlineStr">
        <is>
          <t>LB061B</t>
        </is>
      </c>
      <c r="C25" s="1" t="inlineStr">
        <is>
          <t>RHO Quality Management Systems</t>
        </is>
      </c>
      <c r="D25" s="2" t="inlineStr">
        <is>
          <t>Functional Testing</t>
        </is>
      </c>
      <c r="E25">
        <f>E18</f>
        <v/>
      </c>
      <c r="F25">
        <f>IF(OR(ISNUMBER(SEARCH("Core Activation",D25)),ISNUMBER(SEARCH("Core Design",D25)),ISNUMBER(SEARCH("Mobile Terminology",D25)),ISNUMBER(SEARCH("Mobile Design",D25)),ISNUMBER(SEARCH("Mobile Integration",D25)),ISNUMBER(SEARCH("Testing Layer",D25)),ISNUMBER(SEARCH("Testing Offshore",D25)),ISNUMBER(SEARCH("Carrier",D25)),ISNUMBER(SEARCH("Barrier",D25)),ISNUMBER(SEARCH("Tesing",D25))),"Billing PO","")</f>
        <v/>
      </c>
    </row>
    <row r="26">
      <c r="A26" s="1" t="inlineStr">
        <is>
          <t>RHO Mechanical Engineering</t>
        </is>
      </c>
      <c r="B26" s="1" t="inlineStr">
        <is>
          <t>EXT023</t>
        </is>
      </c>
      <c r="C26" s="1" t="inlineStr">
        <is>
          <t>Manufacturing</t>
        </is>
      </c>
      <c r="D26" s="3" t="inlineStr">
        <is>
          <t>Automation Testing</t>
        </is>
      </c>
      <c r="E26">
        <f>E19</f>
        <v/>
      </c>
      <c r="F26">
        <f>IF(OR(ISNUMBER(SEARCH("Core Activation",D26)),ISNUMBER(SEARCH("Core Design",D26)),ISNUMBER(SEARCH("Mobile Terminology",D26)),ISNUMBER(SEARCH("Mobile Design",D26)),ISNUMBER(SEARCH("Mobile Integration",D26)),ISNUMBER(SEARCH("Testing Layer",D26)),ISNUMBER(SEARCH("Testing Offshore",D26)),ISNUMBER(SEARCH("Carrier",D26)),ISNUMBER(SEARCH("Barrier",D26)),ISNUMBER(SEARCH("Tesing",D26))),"Billing PO","")</f>
        <v/>
      </c>
    </row>
    <row r="27">
      <c r="A27" s="1" t="inlineStr">
        <is>
          <t>62B - RHO Mechanical Engineering</t>
        </is>
      </c>
      <c r="B27" s="1" t="inlineStr">
        <is>
          <t>LB062B</t>
        </is>
      </c>
      <c r="C27" s="1" t="inlineStr">
        <is>
          <t>RHO Mechanical Engineering</t>
        </is>
      </c>
      <c r="D27" s="7" t="inlineStr">
        <is>
          <t>Core Activation Signaling and Protocols</t>
        </is>
      </c>
      <c r="E27">
        <f>E20</f>
        <v/>
      </c>
      <c r="F27">
        <f>IF(OR(ISNUMBER(SEARCH("Core Activation",D27)),ISNUMBER(SEARCH("Core Design",D27)),ISNUMBER(SEARCH("Mobile Terminology",D27)),ISNUMBER(SEARCH("Mobile Design",D27)),ISNUMBER(SEARCH("Mobile Integration",D27)),ISNUMBER(SEARCH("Testing Layer",D27)),ISNUMBER(SEARCH("Testing Offshore",D27)),ISNUMBER(SEARCH("Carrier",D27)),ISNUMBER(SEARCH("Barrier",D27)),ISNUMBER(SEARCH("Tesing",D27))),"Billing PO","")</f>
        <v/>
      </c>
    </row>
    <row r="28">
      <c r="A28" s="1" t="inlineStr">
        <is>
          <t>RHO Wafer Chemical Engineering</t>
        </is>
      </c>
      <c r="B28" s="1" t="inlineStr">
        <is>
          <t>EXT023</t>
        </is>
      </c>
      <c r="C28" s="1" t="inlineStr">
        <is>
          <t>Manufacturing</t>
        </is>
      </c>
      <c r="D28" s="7" t="inlineStr">
        <is>
          <t>Core DesignWireless technologies</t>
        </is>
      </c>
      <c r="E28">
        <f>E21</f>
        <v/>
      </c>
      <c r="F28">
        <f>IF(OR(ISNUMBER(SEARCH("Core Activation",D28)),ISNUMBER(SEARCH("Core Design",D28)),ISNUMBER(SEARCH("Mobile Terminology",D28)),ISNUMBER(SEARCH("Mobile Design",D28)),ISNUMBER(SEARCH("Mobile Integration",D28)),ISNUMBER(SEARCH("Testing Layer",D28)),ISNUMBER(SEARCH("Testing Offshore",D28)),ISNUMBER(SEARCH("Carrier",D28)),ISNUMBER(SEARCH("Barrier",D28)),ISNUMBER(SEARCH("Tesing",D28))),"Billing PO","")</f>
        <v/>
      </c>
    </row>
    <row r="29">
      <c r="A29" s="1" t="inlineStr">
        <is>
          <t>63B - RHO Wafer Chemical Engineering</t>
        </is>
      </c>
      <c r="B29" s="1" t="inlineStr">
        <is>
          <t>LB063B</t>
        </is>
      </c>
      <c r="C29" s="1" t="inlineStr">
        <is>
          <t>RHO Wafer Chemical Engineering</t>
        </is>
      </c>
      <c r="D29" s="7" t="inlineStr">
        <is>
          <t>Mobile Terminology Network Management</t>
        </is>
      </c>
      <c r="E29">
        <f>E22</f>
        <v/>
      </c>
      <c r="F29">
        <f>IF(OR(ISNUMBER(SEARCH("Core Activation",D29)),ISNUMBER(SEARCH("Core Design",D29)),ISNUMBER(SEARCH("Mobile Terminology",D29)),ISNUMBER(SEARCH("Mobile Design",D29)),ISNUMBER(SEARCH("Mobile Integration",D29)),ISNUMBER(SEARCH("Testing Layer",D29)),ISNUMBER(SEARCH("Testing Offshore",D29)),ISNUMBER(SEARCH("Carrier",D29)),ISNUMBER(SEARCH("Barrier",D29)),ISNUMBER(SEARCH("Tesing",D29))),"Billing PO","")</f>
        <v/>
      </c>
    </row>
    <row r="30">
      <c r="A30" s="1" t="inlineStr">
        <is>
          <t>RHO Wafer Vacuum Process Engineering</t>
        </is>
      </c>
      <c r="B30" s="1" t="inlineStr">
        <is>
          <t>EXT023</t>
        </is>
      </c>
      <c r="C30" s="1" t="inlineStr">
        <is>
          <t>Manufacturing</t>
        </is>
      </c>
      <c r="D30" s="7" t="inlineStr">
        <is>
          <t>Mobile Design Layer 2 Protocols</t>
        </is>
      </c>
      <c r="E30">
        <f>E23</f>
        <v/>
      </c>
      <c r="F30">
        <f>IF(OR(ISNUMBER(SEARCH("Core Activation",D30)),ISNUMBER(SEARCH("Core Design",D30)),ISNUMBER(SEARCH("Mobile Terminology",D30)),ISNUMBER(SEARCH("Mobile Design",D30)),ISNUMBER(SEARCH("Mobile Integration",D30)),ISNUMBER(SEARCH("Testing Layer",D30)),ISNUMBER(SEARCH("Testing Offshore",D30)),ISNUMBER(SEARCH("Carrier",D30)),ISNUMBER(SEARCH("Barrier",D30)),ISNUMBER(SEARCH("Tesing",D30))),"Billing PO","")</f>
        <v/>
      </c>
    </row>
    <row r="31">
      <c r="A31" s="1" t="inlineStr">
        <is>
          <t>65B - RHO Wafer Vacuum Process Engineering</t>
        </is>
      </c>
      <c r="B31" s="1" t="inlineStr">
        <is>
          <t>LB065B</t>
        </is>
      </c>
      <c r="C31" s="1" t="inlineStr">
        <is>
          <t>RHO Wafer Vacuum Process Engineering</t>
        </is>
      </c>
      <c r="D31" s="7" t="inlineStr">
        <is>
          <t>Tesing  Layer 3 protocols/routing</t>
        </is>
      </c>
      <c r="E31">
        <f>E24</f>
        <v/>
      </c>
      <c r="F31">
        <f>IF(OR(ISNUMBER(SEARCH("Core Activation",D31)),ISNUMBER(SEARCH("Core Design",D31)),ISNUMBER(SEARCH("Mobile Terminology",D31)),ISNUMBER(SEARCH("Mobile Design",D31)),ISNUMBER(SEARCH("Mobile Integration",D31)),ISNUMBER(SEARCH("Testing Layer",D31)),ISNUMBER(SEARCH("Testing Offshore",D31)),ISNUMBER(SEARCH("Carrier",D31)),ISNUMBER(SEARCH("Barrier",D31)),ISNUMBER(SEARCH("Tesing",D31))),"Billing PO","")</f>
        <v/>
      </c>
    </row>
    <row r="32">
      <c r="A32" s="1" t="inlineStr">
        <is>
          <t>RHO Test Development Engineering</t>
        </is>
      </c>
      <c r="B32" s="1" t="inlineStr">
        <is>
          <t>EXT023</t>
        </is>
      </c>
      <c r="C32" s="1" t="inlineStr">
        <is>
          <t>Manufacturing</t>
        </is>
      </c>
      <c r="D32" s="7" t="inlineStr">
        <is>
          <t>Carrier VOIP</t>
        </is>
      </c>
      <c r="E32">
        <f>E25</f>
        <v/>
      </c>
      <c r="F32">
        <f>IF(OR(ISNUMBER(SEARCH("Core Activation",D32)),ISNUMBER(SEARCH("Core Design",D32)),ISNUMBER(SEARCH("Mobile Terminology",D32)),ISNUMBER(SEARCH("Mobile Design",D32)),ISNUMBER(SEARCH("Mobile Integration",D32)),ISNUMBER(SEARCH("Testing Layer",D32)),ISNUMBER(SEARCH("Testing Offshore",D32)),ISNUMBER(SEARCH("Carrier",D32)),ISNUMBER(SEARCH("Barrier",D32)),ISNUMBER(SEARCH("Tesing",D32))),"Billing PO","")</f>
        <v/>
      </c>
    </row>
    <row r="33">
      <c r="A33" s="1" t="inlineStr">
        <is>
          <t>66B - RHO Test Development Engineering</t>
        </is>
      </c>
      <c r="B33" s="1" t="inlineStr">
        <is>
          <t>LB066B</t>
        </is>
      </c>
      <c r="C33" s="1" t="inlineStr">
        <is>
          <t>RHO Test Development Engineering</t>
        </is>
      </c>
      <c r="D33" t="inlineStr">
        <is>
          <t>Acceptance test artifacts</t>
        </is>
      </c>
      <c r="E33">
        <f>E26</f>
        <v/>
      </c>
      <c r="F33">
        <f>IF(OR(ISNUMBER(SEARCH("Core Activation",D33)),ISNUMBER(SEARCH("Core Design",D33)),ISNUMBER(SEARCH("Mobile Terminology",D33)),ISNUMBER(SEARCH("Mobile Design",D33)),ISNUMBER(SEARCH("Mobile Integration",D33)),ISNUMBER(SEARCH("Testing Layer",D33)),ISNUMBER(SEARCH("Testing Offshore",D33)),ISNUMBER(SEARCH("Carrier",D33)),ISNUMBER(SEARCH("Barrier",D33)),ISNUMBER(SEARCH("Tesing",D33))),"Billing PO","")</f>
        <v/>
      </c>
    </row>
    <row r="34">
      <c r="A34" s="1" t="inlineStr">
        <is>
          <t>RHO Wafer Manufacturing Maintenance</t>
        </is>
      </c>
      <c r="B34" s="1" t="inlineStr">
        <is>
          <t>EXT023</t>
        </is>
      </c>
      <c r="C34" s="1" t="inlineStr">
        <is>
          <t>Manufacturing</t>
        </is>
      </c>
      <c r="D34" t="inlineStr">
        <is>
          <t>Integration test artifacts</t>
        </is>
      </c>
      <c r="E34">
        <f>E27</f>
        <v/>
      </c>
      <c r="F34">
        <f>IF(OR(ISNUMBER(SEARCH("Core Activation",D34)),ISNUMBER(SEARCH("Core Design",D34)),ISNUMBER(SEARCH("Mobile Terminology",D34)),ISNUMBER(SEARCH("Mobile Design",D34)),ISNUMBER(SEARCH("Mobile Integration",D34)),ISNUMBER(SEARCH("Testing Layer",D34)),ISNUMBER(SEARCH("Testing Offshore",D34)),ISNUMBER(SEARCH("Carrier",D34)),ISNUMBER(SEARCH("Barrier",D34)),ISNUMBER(SEARCH("Tesing",D34))),"Billing PO","")</f>
        <v/>
      </c>
    </row>
    <row r="35">
      <c r="A35" s="1" t="inlineStr">
        <is>
          <t>67B - RHO Wafer Manufacturing Maintenance</t>
        </is>
      </c>
      <c r="B35" s="1" t="inlineStr">
        <is>
          <t>LB067B</t>
        </is>
      </c>
      <c r="C35" s="1" t="inlineStr">
        <is>
          <t>RHO Wafer Manufacturing Maintenance</t>
        </is>
      </c>
      <c r="D35" t="inlineStr">
        <is>
          <t>Quality and performance artifacts</t>
        </is>
      </c>
      <c r="E35">
        <f>E28</f>
        <v/>
      </c>
      <c r="F35">
        <f>IF(OR(ISNUMBER(SEARCH("Core Activation",D35)),ISNUMBER(SEARCH("Core Design",D35)),ISNUMBER(SEARCH("Mobile Terminology",D35)),ISNUMBER(SEARCH("Mobile Design",D35)),ISNUMBER(SEARCH("Mobile Integration",D35)),ISNUMBER(SEARCH("Testing Layer",D35)),ISNUMBER(SEARCH("Testing Offshore",D35)),ISNUMBER(SEARCH("Carrier",D35)),ISNUMBER(SEARCH("Barrier",D35)),ISNUMBER(SEARCH("Tesing",D35))),"Billing PO","")</f>
        <v/>
      </c>
    </row>
    <row r="36">
      <c r="A36" s="1" t="inlineStr">
        <is>
          <t>RHO Wafer Manufacturing</t>
        </is>
      </c>
      <c r="B36" s="1" t="inlineStr">
        <is>
          <t>EXT023</t>
        </is>
      </c>
      <c r="C36" s="1" t="inlineStr">
        <is>
          <t>Manufacturing</t>
        </is>
      </c>
      <c r="D36" t="inlineStr">
        <is>
          <t>Functional test artifacts</t>
        </is>
      </c>
      <c r="E36">
        <f>E29</f>
        <v/>
      </c>
      <c r="F36">
        <f>IF(OR(ISNUMBER(SEARCH("Core Activation",D36)),ISNUMBER(SEARCH("Core Design",D36)),ISNUMBER(SEARCH("Mobile Terminology",D36)),ISNUMBER(SEARCH("Mobile Design",D36)),ISNUMBER(SEARCH("Mobile Integration",D36)),ISNUMBER(SEARCH("Testing Layer",D36)),ISNUMBER(SEARCH("Testing Offshore",D36)),ISNUMBER(SEARCH("Carrier",D36)),ISNUMBER(SEARCH("Barrier",D36)),ISNUMBER(SEARCH("Tesing",D36))),"Billing PO","")</f>
        <v/>
      </c>
    </row>
    <row r="37">
      <c r="A37" s="1" t="inlineStr">
        <is>
          <t>68B - RHO Wafer Manufacturing</t>
        </is>
      </c>
      <c r="B37" s="1" t="inlineStr">
        <is>
          <t>LB068B</t>
        </is>
      </c>
      <c r="C37" s="1" t="inlineStr">
        <is>
          <t>RHO Wafer Manufacturing</t>
        </is>
      </c>
      <c r="D37" t="inlineStr">
        <is>
          <t>Alpha/Beta test artifacts</t>
        </is>
      </c>
      <c r="E37">
        <f>E30</f>
        <v/>
      </c>
      <c r="F37">
        <f>IF(OR(ISNUMBER(SEARCH("Core Activation",D37)),ISNUMBER(SEARCH("Core Design",D37)),ISNUMBER(SEARCH("Mobile Terminology",D37)),ISNUMBER(SEARCH("Mobile Design",D37)),ISNUMBER(SEARCH("Mobile Integration",D37)),ISNUMBER(SEARCH("Testing Layer",D37)),ISNUMBER(SEARCH("Testing Offshore",D37)),ISNUMBER(SEARCH("Carrier",D37)),ISNUMBER(SEARCH("Barrier",D37)),ISNUMBER(SEARCH("Tesing",D37))),"Billing PO","")</f>
        <v/>
      </c>
    </row>
    <row r="38">
      <c r="A38" s="1" t="inlineStr">
        <is>
          <t>RHO Supply Chain</t>
        </is>
      </c>
      <c r="B38" s="1" t="inlineStr">
        <is>
          <t>EXT023</t>
        </is>
      </c>
      <c r="C38" s="1" t="inlineStr">
        <is>
          <t>Manufacturing</t>
        </is>
      </c>
      <c r="D38" t="inlineStr">
        <is>
          <t>Unit test artifacts</t>
        </is>
      </c>
      <c r="E38">
        <f>E31</f>
        <v/>
      </c>
      <c r="F38">
        <f>IF(OR(ISNUMBER(SEARCH("Core Activation",D38)),ISNUMBER(SEARCH("Core Design",D38)),ISNUMBER(SEARCH("Mobile Terminology",D38)),ISNUMBER(SEARCH("Mobile Design",D38)),ISNUMBER(SEARCH("Mobile Integration",D38)),ISNUMBER(SEARCH("Testing Layer",D38)),ISNUMBER(SEARCH("Testing Offshore",D38)),ISNUMBER(SEARCH("Carrier",D38)),ISNUMBER(SEARCH("Barrier",D38)),ISNUMBER(SEARCH("Tesing",D38))),"Billing PO","")</f>
        <v/>
      </c>
    </row>
    <row r="39">
      <c r="A39" s="1" t="inlineStr">
        <is>
          <t>69B - RHO Supply Chain</t>
        </is>
      </c>
      <c r="B39" s="1" t="inlineStr">
        <is>
          <t>LB069B</t>
        </is>
      </c>
      <c r="C39" s="1" t="inlineStr">
        <is>
          <t>RHO Supply Chain</t>
        </is>
      </c>
      <c r="D39" t="inlineStr">
        <is>
          <t>Integration test artifacts</t>
        </is>
      </c>
      <c r="E39">
        <f>E32</f>
        <v/>
      </c>
      <c r="F39">
        <f>IF(OR(ISNUMBER(SEARCH("Core Activation",D39)),ISNUMBER(SEARCH("Core Design",D39)),ISNUMBER(SEARCH("Mobile Terminology",D39)),ISNUMBER(SEARCH("Mobile Design",D39)),ISNUMBER(SEARCH("Mobile Integration",D39)),ISNUMBER(SEARCH("Testing Layer",D39)),ISNUMBER(SEARCH("Testing Offshore",D39)),ISNUMBER(SEARCH("Carrier",D39)),ISNUMBER(SEARCH("Barrier",D39)),ISNUMBER(SEARCH("Tesing",D39))),"Billing PO","")</f>
        <v/>
      </c>
    </row>
    <row r="40">
      <c r="A40" s="1" t="inlineStr">
        <is>
          <t>SM Admin</t>
        </is>
      </c>
      <c r="B40" s="1" t="inlineStr">
        <is>
          <t>EXT023</t>
        </is>
      </c>
      <c r="C40" s="1" t="inlineStr">
        <is>
          <t>Manufacturing</t>
        </is>
      </c>
      <c r="D40" t="inlineStr">
        <is>
          <t>Quality and performance artifacts</t>
        </is>
      </c>
      <c r="E40">
        <f>E33</f>
        <v/>
      </c>
      <c r="F40">
        <f>IF(OR(ISNUMBER(SEARCH("Core Activation",D40)),ISNUMBER(SEARCH("Core Design",D40)),ISNUMBER(SEARCH("Mobile Terminology",D40)),ISNUMBER(SEARCH("Mobile Design",D40)),ISNUMBER(SEARCH("Mobile Integration",D40)),ISNUMBER(SEARCH("Testing Layer",D40)),ISNUMBER(SEARCH("Testing Offshore",D40)),ISNUMBER(SEARCH("Carrier",D40)),ISNUMBER(SEARCH("Barrier",D40)),ISNUMBER(SEARCH("Tesing",D40))),"Billing PO","")</f>
        <v/>
      </c>
    </row>
    <row r="41">
      <c r="A41" s="1" t="inlineStr">
        <is>
          <t>6FB - SM Admin</t>
        </is>
      </c>
      <c r="B41" s="1" t="inlineStr">
        <is>
          <t>LB06FB</t>
        </is>
      </c>
      <c r="C41" s="1" t="inlineStr">
        <is>
          <t>SM Admin</t>
        </is>
      </c>
      <c r="D41" t="inlineStr">
        <is>
          <t>Regression, load testing, sanity, etc.</t>
        </is>
      </c>
      <c r="E41">
        <f>E34</f>
        <v/>
      </c>
      <c r="F41">
        <f>IF(OR(ISNUMBER(SEARCH("Core Activation",D41)),ISNUMBER(SEARCH("Core Design",D41)),ISNUMBER(SEARCH("Mobile Terminology",D41)),ISNUMBER(SEARCH("Mobile Design",D41)),ISNUMBER(SEARCH("Mobile Integration",D41)),ISNUMBER(SEARCH("Testing Layer",D41)),ISNUMBER(SEARCH("Testing Offshore",D41)),ISNUMBER(SEARCH("Carrier",D41)),ISNUMBER(SEARCH("Barrier",D41)),ISNUMBER(SEARCH("Tesing",D41))),"Billing PO","")</f>
        <v/>
      </c>
    </row>
    <row r="42">
      <c r="A42" s="1" t="inlineStr">
        <is>
          <t>SM JDM/OEM/ODM -Mitac</t>
        </is>
      </c>
      <c r="B42" s="1" t="inlineStr">
        <is>
          <t>EXT023</t>
        </is>
      </c>
      <c r="C42" s="1" t="inlineStr">
        <is>
          <t>Manufacturing</t>
        </is>
      </c>
      <c r="D42" t="inlineStr">
        <is>
          <t>Interconnection Testing</t>
        </is>
      </c>
      <c r="E42">
        <f>E35</f>
        <v/>
      </c>
      <c r="F42">
        <f>IF(OR(ISNUMBER(SEARCH("Core Activation",D42)),ISNUMBER(SEARCH("Core Design",D42)),ISNUMBER(SEARCH("Mobile Terminology",D42)),ISNUMBER(SEARCH("Mobile Design",D42)),ISNUMBER(SEARCH("Mobile Integration",D42)),ISNUMBER(SEARCH("Testing Layer",D42)),ISNUMBER(SEARCH("Testing Offshore",D42)),ISNUMBER(SEARCH("Carrier",D42)),ISNUMBER(SEARCH("Barrier",D42)),ISNUMBER(SEARCH("Tesing",D42))),"Billing PO","")</f>
        <v/>
      </c>
    </row>
    <row r="43">
      <c r="A43" s="1" t="inlineStr">
        <is>
          <t>6GB - SM JDM/OEM/ODM -Mitac</t>
        </is>
      </c>
      <c r="B43" s="1" t="inlineStr">
        <is>
          <t>LB06GB</t>
        </is>
      </c>
      <c r="C43" s="1" t="inlineStr">
        <is>
          <t>SM JDM/OEM/ODM -Mitac</t>
        </is>
      </c>
      <c r="D43" t="inlineStr">
        <is>
          <t>Conformance Testing</t>
        </is>
      </c>
      <c r="E43">
        <f>E36</f>
        <v/>
      </c>
      <c r="F43">
        <f>IF(OR(ISNUMBER(SEARCH("Core Activation",D43)),ISNUMBER(SEARCH("Core Design",D43)),ISNUMBER(SEARCH("Mobile Terminology",D43)),ISNUMBER(SEARCH("Mobile Design",D43)),ISNUMBER(SEARCH("Mobile Integration",D43)),ISNUMBER(SEARCH("Testing Layer",D43)),ISNUMBER(SEARCH("Testing Offshore",D43)),ISNUMBER(SEARCH("Carrier",D43)),ISNUMBER(SEARCH("Barrier",D43)),ISNUMBER(SEARCH("Tesing",D43))),"Billing PO","")</f>
        <v/>
      </c>
    </row>
    <row r="44">
      <c r="A44" s="1" t="inlineStr">
        <is>
          <t>SM EM - Cel,Flex, Hls</t>
        </is>
      </c>
      <c r="B44" s="1" t="inlineStr">
        <is>
          <t>EXT023</t>
        </is>
      </c>
      <c r="C44" s="1" t="inlineStr">
        <is>
          <t>Manufacturing</t>
        </is>
      </c>
      <c r="D44" t="inlineStr">
        <is>
          <t>IVR Testing</t>
        </is>
      </c>
      <c r="E44">
        <f>E37</f>
        <v/>
      </c>
      <c r="F44">
        <f>IF(OR(ISNUMBER(SEARCH("Core Activation",D44)),ISNUMBER(SEARCH("Core Design",D44)),ISNUMBER(SEARCH("Mobile Terminology",D44)),ISNUMBER(SEARCH("Mobile Design",D44)),ISNUMBER(SEARCH("Mobile Integration",D44)),ISNUMBER(SEARCH("Testing Layer",D44)),ISNUMBER(SEARCH("Testing Offshore",D44)),ISNUMBER(SEARCH("Carrier",D44)),ISNUMBER(SEARCH("Barrier",D44)),ISNUMBER(SEARCH("Tesing",D44))),"Billing PO","")</f>
        <v/>
      </c>
    </row>
    <row r="45">
      <c r="A45" s="1" t="inlineStr">
        <is>
          <t>6HB - SM EM - Cel,Flex, Hls</t>
        </is>
      </c>
      <c r="B45" s="1" t="inlineStr">
        <is>
          <t>LB06HB</t>
        </is>
      </c>
      <c r="C45" s="1" t="inlineStr">
        <is>
          <t>SM EM - Cel,Flex, Hls</t>
        </is>
      </c>
      <c r="D45" t="inlineStr">
        <is>
          <t>Performance Testing</t>
        </is>
      </c>
      <c r="E45">
        <f>E38</f>
        <v/>
      </c>
      <c r="F45">
        <f>IF(OR(ISNUMBER(SEARCH("Core Activation",D45)),ISNUMBER(SEARCH("Core Design",D45)),ISNUMBER(SEARCH("Mobile Terminology",D45)),ISNUMBER(SEARCH("Mobile Design",D45)),ISNUMBER(SEARCH("Mobile Integration",D45)),ISNUMBER(SEARCH("Testing Layer",D45)),ISNUMBER(SEARCH("Testing Offshore",D45)),ISNUMBER(SEARCH("Carrier",D45)),ISNUMBER(SEARCH("Barrier",D45)),ISNUMBER(SEARCH("Tesing",D45))),"Billing PO","")</f>
        <v/>
      </c>
    </row>
    <row r="46">
      <c r="A46" s="1" t="inlineStr">
        <is>
          <t>SM Memory and Disk (commodities)</t>
        </is>
      </c>
      <c r="B46" s="1" t="inlineStr">
        <is>
          <t>EXT023</t>
        </is>
      </c>
      <c r="C46" s="1" t="inlineStr">
        <is>
          <t>Manufacturing</t>
        </is>
      </c>
      <c r="D46" t="inlineStr">
        <is>
          <t>Security Testing</t>
        </is>
      </c>
      <c r="E46">
        <f>E39</f>
        <v/>
      </c>
      <c r="F46">
        <f>IF(OR(ISNUMBER(SEARCH("Core Activation",D46)),ISNUMBER(SEARCH("Core Design",D46)),ISNUMBER(SEARCH("Mobile Terminology",D46)),ISNUMBER(SEARCH("Mobile Design",D46)),ISNUMBER(SEARCH("Mobile Integration",D46)),ISNUMBER(SEARCH("Testing Layer",D46)),ISNUMBER(SEARCH("Testing Offshore",D46)),ISNUMBER(SEARCH("Carrier",D46)),ISNUMBER(SEARCH("Barrier",D46)),ISNUMBER(SEARCH("Tesing",D46))),"Billing PO","")</f>
        <v/>
      </c>
    </row>
    <row r="47">
      <c r="A47" s="1" t="inlineStr">
        <is>
          <t>6IB - SM Memory and Disk (commodities)</t>
        </is>
      </c>
      <c r="B47" s="1" t="inlineStr">
        <is>
          <t>LB06IB</t>
        </is>
      </c>
      <c r="C47" s="1" t="inlineStr">
        <is>
          <t>SM Memory and Disk (commodities)</t>
        </is>
      </c>
      <c r="D47" t="inlineStr">
        <is>
          <t>Interoperability Testing</t>
        </is>
      </c>
      <c r="E47">
        <f>E40</f>
        <v/>
      </c>
      <c r="F47">
        <f>IF(OR(ISNUMBER(SEARCH("Core Activation",D47)),ISNUMBER(SEARCH("Core Design",D47)),ISNUMBER(SEARCH("Mobile Terminology",D47)),ISNUMBER(SEARCH("Mobile Design",D47)),ISNUMBER(SEARCH("Mobile Integration",D47)),ISNUMBER(SEARCH("Testing Layer",D47)),ISNUMBER(SEARCH("Testing Offshore",D47)),ISNUMBER(SEARCH("Carrier",D47)),ISNUMBER(SEARCH("Barrier",D47)),ISNUMBER(SEARCH("Tesing",D47))),"Billing PO","")</f>
        <v/>
      </c>
    </row>
    <row r="48">
      <c r="A48" s="1" t="inlineStr">
        <is>
          <t>SM CPU and Eng</t>
        </is>
      </c>
      <c r="B48" s="1" t="inlineStr">
        <is>
          <t>EXT023</t>
        </is>
      </c>
      <c r="C48" s="1" t="inlineStr">
        <is>
          <t>Manufacturing</t>
        </is>
      </c>
      <c r="D48" s="7" t="inlineStr">
        <is>
          <t>Barrier Protocol Testing</t>
        </is>
      </c>
      <c r="E48">
        <f>E41</f>
        <v/>
      </c>
      <c r="F48">
        <f>IF(OR(ISNUMBER(SEARCH("Core Activation",D48)),ISNUMBER(SEARCH("Core Design",D48)),ISNUMBER(SEARCH("Mobile Terminology",D48)),ISNUMBER(SEARCH("Mobile Design",D48)),ISNUMBER(SEARCH("Mobile Integration",D48)),ISNUMBER(SEARCH("Testing Layer",D48)),ISNUMBER(SEARCH("Testing Offshore",D48)),ISNUMBER(SEARCH("Carrier",D48)),ISNUMBER(SEARCH("Barrier",D48)),ISNUMBER(SEARCH("Tesing",D48))),"Billing PO","")</f>
        <v/>
      </c>
    </row>
    <row r="49">
      <c r="A49" s="1" t="inlineStr">
        <is>
          <t>6JB - SM CPU and Eng</t>
        </is>
      </c>
      <c r="B49" s="1" t="inlineStr">
        <is>
          <t>LB06JB</t>
        </is>
      </c>
      <c r="C49" s="1" t="inlineStr">
        <is>
          <t>SM CPU and Eng</t>
        </is>
      </c>
      <c r="D49" t="inlineStr">
        <is>
          <t>Functional Testing</t>
        </is>
      </c>
      <c r="E49">
        <f>E42</f>
        <v/>
      </c>
      <c r="F49">
        <f>IF(OR(ISNUMBER(SEARCH("Core Activation",D49)),ISNUMBER(SEARCH("Core Design",D49)),ISNUMBER(SEARCH("Mobile Terminology",D49)),ISNUMBER(SEARCH("Mobile Design",D49)),ISNUMBER(SEARCH("Mobile Integration",D49)),ISNUMBER(SEARCH("Testing Layer",D49)),ISNUMBER(SEARCH("Testing Offshore",D49)),ISNUMBER(SEARCH("Carrier",D49)),ISNUMBER(SEARCH("Barrier",D49)),ISNUMBER(SEARCH("Tesing",D49))),"Billing PO","")</f>
        <v/>
      </c>
    </row>
    <row r="50">
      <c r="A50" s="1" t="inlineStr">
        <is>
          <t>MFG Admin</t>
        </is>
      </c>
      <c r="B50" s="1" t="inlineStr">
        <is>
          <t>EXT023</t>
        </is>
      </c>
      <c r="C50" s="1" t="inlineStr">
        <is>
          <t>Manufacturing</t>
        </is>
      </c>
      <c r="D50" t="inlineStr">
        <is>
          <t>Automation Testing</t>
        </is>
      </c>
      <c r="E50">
        <f>E43</f>
        <v/>
      </c>
      <c r="F50">
        <f>IF(OR(ISNUMBER(SEARCH("Core Activation",D50)),ISNUMBER(SEARCH("Core Design",D50)),ISNUMBER(SEARCH("Mobile Terminology",D50)),ISNUMBER(SEARCH("Mobile Design",D50)),ISNUMBER(SEARCH("Mobile Integration",D50)),ISNUMBER(SEARCH("Testing Layer",D50)),ISNUMBER(SEARCH("Testing Offshore",D50)),ISNUMBER(SEARCH("Carrier",D50)),ISNUMBER(SEARCH("Barrier",D50)),ISNUMBER(SEARCH("Tesing",D50))),"Billing PO","")</f>
        <v/>
      </c>
    </row>
    <row r="51">
      <c r="A51" s="1" t="inlineStr">
        <is>
          <t>7IB - MFG Admin</t>
        </is>
      </c>
      <c r="B51" s="1" t="inlineStr">
        <is>
          <t>LB07IB</t>
        </is>
      </c>
      <c r="C51" s="1" t="inlineStr">
        <is>
          <t>MFG Admin</t>
        </is>
      </c>
      <c r="D51" s="7" t="inlineStr">
        <is>
          <t>Core Activation Signaling and Protocols</t>
        </is>
      </c>
      <c r="E51">
        <f>E44</f>
        <v/>
      </c>
      <c r="F51">
        <f>IF(OR(ISNUMBER(SEARCH("Core Activation",D51)),ISNUMBER(SEARCH("Core Design",D51)),ISNUMBER(SEARCH("Mobile Terminology",D51)),ISNUMBER(SEARCH("Mobile Design",D51)),ISNUMBER(SEARCH("Mobile Integration",D51)),ISNUMBER(SEARCH("Testing Layer",D51)),ISNUMBER(SEARCH("Testing Offshore",D51)),ISNUMBER(SEARCH("Carrier",D51)),ISNUMBER(SEARCH("Barrier",D51)),ISNUMBER(SEARCH("Tesing",D51))),"Billing PO","")</f>
        <v/>
      </c>
    </row>
    <row r="52">
      <c r="A52" s="1" t="inlineStr">
        <is>
          <t>MFG Internal Manufacturing</t>
        </is>
      </c>
      <c r="B52" s="1" t="inlineStr">
        <is>
          <t>EXT023</t>
        </is>
      </c>
      <c r="C52" s="1" t="inlineStr">
        <is>
          <t>Manufacturing</t>
        </is>
      </c>
      <c r="D52" s="7" t="inlineStr">
        <is>
          <t>Core DesignWireless technologies</t>
        </is>
      </c>
      <c r="E52">
        <f>E45</f>
        <v/>
      </c>
      <c r="F52">
        <f>IF(OR(ISNUMBER(SEARCH("Core Activation",D52)),ISNUMBER(SEARCH("Core Design",D52)),ISNUMBER(SEARCH("Mobile Terminology",D52)),ISNUMBER(SEARCH("Mobile Design",D52)),ISNUMBER(SEARCH("Mobile Integration",D52)),ISNUMBER(SEARCH("Testing Layer",D52)),ISNUMBER(SEARCH("Testing Offshore",D52)),ISNUMBER(SEARCH("Carrier",D52)),ISNUMBER(SEARCH("Barrier",D52)),ISNUMBER(SEARCH("Tesing",D52))),"Billing PO","")</f>
        <v/>
      </c>
    </row>
    <row r="53">
      <c r="A53" s="1" t="inlineStr">
        <is>
          <t>7OB - MFG Internal Manufacturing</t>
        </is>
      </c>
      <c r="B53" s="1" t="inlineStr">
        <is>
          <t>LB07OB</t>
        </is>
      </c>
      <c r="C53" s="1" t="inlineStr">
        <is>
          <t>MFG Internal Manufacturing</t>
        </is>
      </c>
      <c r="D53" s="7" t="inlineStr">
        <is>
          <t>Mobile Terminology Network Management</t>
        </is>
      </c>
      <c r="E53">
        <f>E46</f>
        <v/>
      </c>
      <c r="F53">
        <f>IF(OR(ISNUMBER(SEARCH("Core Activation",D53)),ISNUMBER(SEARCH("Core Design",D53)),ISNUMBER(SEARCH("Mobile Terminology",D53)),ISNUMBER(SEARCH("Mobile Design",D53)),ISNUMBER(SEARCH("Mobile Integration",D53)),ISNUMBER(SEARCH("Testing Layer",D53)),ISNUMBER(SEARCH("Testing Offshore",D53)),ISNUMBER(SEARCH("Carrier",D53)),ISNUMBER(SEARCH("Barrier",D53)),ISNUMBER(SEARCH("Tesing",D53))),"Billing PO","")</f>
        <v/>
      </c>
    </row>
    <row r="54">
      <c r="A54" s="1" t="inlineStr">
        <is>
          <t>Stock comp - Manufacturing</t>
        </is>
      </c>
      <c r="B54" s="1" t="inlineStr">
        <is>
          <t>EXT023</t>
        </is>
      </c>
      <c r="C54" s="1" t="inlineStr">
        <is>
          <t>Manufacturing</t>
        </is>
      </c>
      <c r="D54" s="7" t="inlineStr">
        <is>
          <t>Mobile Design Layer 2 Protocols</t>
        </is>
      </c>
      <c r="E54">
        <f>E47</f>
        <v/>
      </c>
      <c r="F54">
        <f>IF(OR(ISNUMBER(SEARCH("Core Activation",D54)),ISNUMBER(SEARCH("Core Design",D54)),ISNUMBER(SEARCH("Mobile Terminology",D54)),ISNUMBER(SEARCH("Mobile Design",D54)),ISNUMBER(SEARCH("Mobile Integration",D54)),ISNUMBER(SEARCH("Testing Layer",D54)),ISNUMBER(SEARCH("Testing Offshore",D54)),ISNUMBER(SEARCH("Carrier",D54)),ISNUMBER(SEARCH("Barrier",D54)),ISNUMBER(SEARCH("Tesing",D54))),"Billing PO","")</f>
        <v/>
      </c>
    </row>
    <row r="55">
      <c r="A55" s="1" t="inlineStr">
        <is>
          <t>8BH - Stock comp - Manufacturing</t>
        </is>
      </c>
      <c r="B55" s="1" t="inlineStr">
        <is>
          <t>LB08BH</t>
        </is>
      </c>
      <c r="C55" s="1" t="inlineStr">
        <is>
          <t>Stock comp - Manufacturing</t>
        </is>
      </c>
      <c r="D55" s="7" t="inlineStr">
        <is>
          <t>Tesing  Layer 3 protocols/routing</t>
        </is>
      </c>
      <c r="E55">
        <f>E48</f>
        <v/>
      </c>
      <c r="F55">
        <f>IF(OR(ISNUMBER(SEARCH("Core Activation",D55)),ISNUMBER(SEARCH("Core Design",D55)),ISNUMBER(SEARCH("Mobile Terminology",D55)),ISNUMBER(SEARCH("Mobile Design",D55)),ISNUMBER(SEARCH("Mobile Integration",D55)),ISNUMBER(SEARCH("Testing Layer",D55)),ISNUMBER(SEARCH("Testing Offshore",D55)),ISNUMBER(SEARCH("Carrier",D55)),ISNUMBER(SEARCH("Barrier",D55)),ISNUMBER(SEARCH("Tesing",D55))),"Billing PO","")</f>
        <v/>
      </c>
    </row>
    <row r="56">
      <c r="A56" s="1" t="inlineStr">
        <is>
          <t>MFG Customer Ready Solutions (CRS)</t>
        </is>
      </c>
      <c r="B56" s="1" t="inlineStr">
        <is>
          <t>EXT023</t>
        </is>
      </c>
      <c r="C56" s="1" t="inlineStr">
        <is>
          <t>Manufacturing</t>
        </is>
      </c>
      <c r="D56" s="7" t="inlineStr">
        <is>
          <t>Testing Offshore  Infrastructure/Security</t>
        </is>
      </c>
      <c r="E56">
        <f>E49</f>
        <v/>
      </c>
      <c r="F56">
        <f>IF(OR(ISNUMBER(SEARCH("Core Activation",D56)),ISNUMBER(SEARCH("Core Design",D56)),ISNUMBER(SEARCH("Mobile Terminology",D56)),ISNUMBER(SEARCH("Mobile Design",D56)),ISNUMBER(SEARCH("Mobile Integration",D56)),ISNUMBER(SEARCH("Testing Layer",D56)),ISNUMBER(SEARCH("Testing Offshore",D56)),ISNUMBER(SEARCH("Carrier",D56)),ISNUMBER(SEARCH("Barrier",D56)),ISNUMBER(SEARCH("Tesing",D56))),"Billing PO","")</f>
        <v/>
      </c>
    </row>
    <row r="57">
      <c r="A57" s="1" t="inlineStr">
        <is>
          <t>8OB - MFG Customer Ready Solutions (CRS)</t>
        </is>
      </c>
      <c r="B57" s="1" t="inlineStr">
        <is>
          <t>LB08OB</t>
        </is>
      </c>
      <c r="C57" s="1" t="inlineStr">
        <is>
          <t>MFG Customer Ready Solutions (CRS)</t>
        </is>
      </c>
      <c r="D57" t="inlineStr">
        <is>
          <t>Acceptance test artifacts</t>
        </is>
      </c>
      <c r="E57">
        <f>E50</f>
        <v/>
      </c>
      <c r="F57">
        <f>IF(OR(ISNUMBER(SEARCH("Core Activation",D57)),ISNUMBER(SEARCH("Core Design",D57)),ISNUMBER(SEARCH("Mobile Terminology",D57)),ISNUMBER(SEARCH("Mobile Design",D57)),ISNUMBER(SEARCH("Mobile Integration",D57)),ISNUMBER(SEARCH("Testing Layer",D57)),ISNUMBER(SEARCH("Testing Offshore",D57)),ISNUMBER(SEARCH("Carrier",D57)),ISNUMBER(SEARCH("Barrier",D57)),ISNUMBER(SEARCH("Tesing",D57))),"Billing PO","")</f>
        <v/>
      </c>
    </row>
    <row r="58">
      <c r="A58" s="1" t="inlineStr">
        <is>
          <t>WWOPS Admin</t>
        </is>
      </c>
      <c r="B58" s="1" t="inlineStr">
        <is>
          <t>EXT023</t>
        </is>
      </c>
      <c r="C58" s="1" t="inlineStr">
        <is>
          <t>Manufacturing</t>
        </is>
      </c>
      <c r="D58" t="inlineStr">
        <is>
          <t>Integration test artifacts</t>
        </is>
      </c>
      <c r="E58">
        <f>E51</f>
        <v/>
      </c>
      <c r="F58">
        <f>IF(OR(ISNUMBER(SEARCH("Core Activation",D58)),ISNUMBER(SEARCH("Core Design",D58)),ISNUMBER(SEARCH("Mobile Terminology",D58)),ISNUMBER(SEARCH("Mobile Design",D58)),ISNUMBER(SEARCH("Mobile Integration",D58)),ISNUMBER(SEARCH("Testing Layer",D58)),ISNUMBER(SEARCH("Testing Offshore",D58)),ISNUMBER(SEARCH("Carrier",D58)),ISNUMBER(SEARCH("Barrier",D58)),ISNUMBER(SEARCH("Tesing",D58))),"Billing PO","")</f>
        <v/>
      </c>
    </row>
    <row r="59">
      <c r="A59" s="1" t="inlineStr">
        <is>
          <t>9K9 - WWOPS Admin</t>
        </is>
      </c>
      <c r="B59" s="1" t="inlineStr">
        <is>
          <t>LB09K9</t>
        </is>
      </c>
      <c r="C59" s="1" t="inlineStr">
        <is>
          <t>WWOPS Admin</t>
        </is>
      </c>
      <c r="D59" t="inlineStr">
        <is>
          <t>Quality and performance artifacts</t>
        </is>
      </c>
      <c r="E59">
        <f>E52</f>
        <v/>
      </c>
      <c r="F59">
        <f>IF(OR(ISNUMBER(SEARCH("Core Activation",D59)),ISNUMBER(SEARCH("Core Design",D59)),ISNUMBER(SEARCH("Mobile Terminology",D59)),ISNUMBER(SEARCH("Mobile Design",D59)),ISNUMBER(SEARCH("Mobile Integration",D59)),ISNUMBER(SEARCH("Testing Layer",D59)),ISNUMBER(SEARCH("Testing Offshore",D59)),ISNUMBER(SEARCH("Carrier",D59)),ISNUMBER(SEARCH("Barrier",D59)),ISNUMBER(SEARCH("Tesing",D59))),"Billing PO","")</f>
        <v/>
      </c>
    </row>
    <row r="60">
      <c r="A60" s="1" t="inlineStr">
        <is>
          <t>PLT Process Development and Quality</t>
        </is>
      </c>
      <c r="B60" s="1" t="inlineStr">
        <is>
          <t>EXT023</t>
        </is>
      </c>
      <c r="C60" s="1" t="inlineStr">
        <is>
          <t>Manufacturing</t>
        </is>
      </c>
      <c r="D60" t="inlineStr">
        <is>
          <t>Functional test artifacts</t>
        </is>
      </c>
      <c r="E60">
        <f>E53</f>
        <v/>
      </c>
      <c r="F60">
        <f>IF(OR(ISNUMBER(SEARCH("Core Activation",D60)),ISNUMBER(SEARCH("Core Design",D60)),ISNUMBER(SEARCH("Mobile Terminology",D60)),ISNUMBER(SEARCH("Mobile Design",D60)),ISNUMBER(SEARCH("Mobile Integration",D60)),ISNUMBER(SEARCH("Testing Layer",D60)),ISNUMBER(SEARCH("Testing Offshore",D60)),ISNUMBER(SEARCH("Carrier",D60)),ISNUMBER(SEARCH("Barrier",D60)),ISNUMBER(SEARCH("Tesing",D60))),"Billing PO","")</f>
        <v/>
      </c>
    </row>
    <row r="61">
      <c r="A61" s="1" t="inlineStr">
        <is>
          <t>9L9 - PLT Process Development and Quality</t>
        </is>
      </c>
      <c r="B61" s="1" t="inlineStr">
        <is>
          <t>LB09L9</t>
        </is>
      </c>
      <c r="C61" s="1" t="inlineStr">
        <is>
          <t>PLT Process Development and Quality</t>
        </is>
      </c>
      <c r="D61" t="inlineStr">
        <is>
          <t>Alpha/Beta test artifacts</t>
        </is>
      </c>
      <c r="E61">
        <f>E54</f>
        <v/>
      </c>
      <c r="F61">
        <f>IF(OR(ISNUMBER(SEARCH("Core Activation",D61)),ISNUMBER(SEARCH("Core Design",D61)),ISNUMBER(SEARCH("Mobile Terminology",D61)),ISNUMBER(SEARCH("Mobile Design",D61)),ISNUMBER(SEARCH("Mobile Integration",D61)),ISNUMBER(SEARCH("Testing Layer",D61)),ISNUMBER(SEARCH("Testing Offshore",D61)),ISNUMBER(SEARCH("Carrier",D61)),ISNUMBER(SEARCH("Barrier",D61)),ISNUMBER(SEARCH("Tesing",D61))),"Billing PO","")</f>
        <v/>
      </c>
    </row>
    <row r="62">
      <c r="A62" s="1" t="inlineStr">
        <is>
          <t>PLT Test Engineering</t>
        </is>
      </c>
      <c r="B62" s="1" t="inlineStr">
        <is>
          <t>EXT023</t>
        </is>
      </c>
      <c r="C62" s="1" t="inlineStr">
        <is>
          <t>Manufacturing</t>
        </is>
      </c>
      <c r="D62" t="inlineStr">
        <is>
          <t>Unit test artifacts</t>
        </is>
      </c>
      <c r="E62">
        <f>E55</f>
        <v/>
      </c>
      <c r="F62">
        <f>IF(OR(ISNUMBER(SEARCH("Core Activation",D62)),ISNUMBER(SEARCH("Core Design",D62)),ISNUMBER(SEARCH("Mobile Terminology",D62)),ISNUMBER(SEARCH("Mobile Design",D62)),ISNUMBER(SEARCH("Mobile Integration",D62)),ISNUMBER(SEARCH("Testing Layer",D62)),ISNUMBER(SEARCH("Testing Offshore",D62)),ISNUMBER(SEARCH("Carrier",D62)),ISNUMBER(SEARCH("Barrier",D62)),ISNUMBER(SEARCH("Tesing",D62))),"Billing PO","")</f>
        <v/>
      </c>
    </row>
    <row r="63">
      <c r="A63" s="1" t="inlineStr">
        <is>
          <t>9M9 - PLT Test Engineering</t>
        </is>
      </c>
      <c r="B63" s="1" t="inlineStr">
        <is>
          <t>LB09M9</t>
        </is>
      </c>
      <c r="C63" s="1" t="inlineStr">
        <is>
          <t>PLT Test Engineering</t>
        </is>
      </c>
      <c r="D63" s="7" t="inlineStr">
        <is>
          <t>Mobile Integration test artifacts</t>
        </is>
      </c>
      <c r="E63">
        <f>E56</f>
        <v/>
      </c>
      <c r="F63">
        <f>IF(OR(ISNUMBER(SEARCH("Core Activation",D63)),ISNUMBER(SEARCH("Core Design",D63)),ISNUMBER(SEARCH("Mobile Terminology",D63)),ISNUMBER(SEARCH("Mobile Design",D63)),ISNUMBER(SEARCH("Mobile Integration",D63)),ISNUMBER(SEARCH("Testing Layer",D63)),ISNUMBER(SEARCH("Testing Offshore",D63)),ISNUMBER(SEARCH("Carrier",D63)),ISNUMBER(SEARCH("Barrier",D63)),ISNUMBER(SEARCH("Tesing",D63))),"Billing PO","")</f>
        <v/>
      </c>
    </row>
    <row r="64">
      <c r="A64" s="1" t="inlineStr">
        <is>
          <t>PLT X86 &amp; Storage</t>
        </is>
      </c>
      <c r="B64" s="1" t="inlineStr">
        <is>
          <t>EXT023</t>
        </is>
      </c>
      <c r="C64" s="1" t="inlineStr">
        <is>
          <t>Manufacturing</t>
        </is>
      </c>
      <c r="D64" t="inlineStr">
        <is>
          <t>Quality and performance artifacts</t>
        </is>
      </c>
      <c r="E64">
        <f>E57</f>
        <v/>
      </c>
      <c r="F64">
        <f>IF(OR(ISNUMBER(SEARCH("Core Activation",D64)),ISNUMBER(SEARCH("Core Design",D64)),ISNUMBER(SEARCH("Mobile Terminology",D64)),ISNUMBER(SEARCH("Mobile Design",D64)),ISNUMBER(SEARCH("Mobile Integration",D64)),ISNUMBER(SEARCH("Testing Layer",D64)),ISNUMBER(SEARCH("Testing Offshore",D64)),ISNUMBER(SEARCH("Carrier",D64)),ISNUMBER(SEARCH("Barrier",D64)),ISNUMBER(SEARCH("Tesing",D64))),"Billing PO","")</f>
        <v/>
      </c>
    </row>
    <row r="65">
      <c r="A65" s="1" t="inlineStr">
        <is>
          <t>9N9 - PLT X86 &amp; Storage</t>
        </is>
      </c>
      <c r="B65" s="1" t="inlineStr">
        <is>
          <t>LB09N9</t>
        </is>
      </c>
      <c r="C65" s="1" t="inlineStr">
        <is>
          <t>PLT X86 &amp; Storage</t>
        </is>
      </c>
      <c r="D65" t="inlineStr">
        <is>
          <t>Regression, load testing, sanity, etc.</t>
        </is>
      </c>
      <c r="E65">
        <f>E58</f>
        <v/>
      </c>
      <c r="F65">
        <f>IF(OR(ISNUMBER(SEARCH("Core Activation",D65)),ISNUMBER(SEARCH("Core Design",D65)),ISNUMBER(SEARCH("Mobile Terminology",D65)),ISNUMBER(SEARCH("Mobile Design",D65)),ISNUMBER(SEARCH("Mobile Integration",D65)),ISNUMBER(SEARCH("Testing Layer",D65)),ISNUMBER(SEARCH("Testing Offshore",D65)),ISNUMBER(SEARCH("Carrier",D65)),ISNUMBER(SEARCH("Barrier",D65)),ISNUMBER(SEARCH("Tesing",D65))),"Billing PO","")</f>
        <v/>
      </c>
    </row>
    <row r="66">
      <c r="A66" s="1" t="inlineStr">
        <is>
          <t>HTP Value Engineering</t>
        </is>
      </c>
      <c r="B66" s="1" t="inlineStr">
        <is>
          <t>EXT023</t>
        </is>
      </c>
      <c r="C66" s="1" t="inlineStr">
        <is>
          <t>Manufacturing</t>
        </is>
      </c>
      <c r="D66" t="inlineStr">
        <is>
          <t>Interconnection Testing</t>
        </is>
      </c>
      <c r="E66">
        <f>E59</f>
        <v/>
      </c>
      <c r="F66">
        <f>IF(OR(ISNUMBER(SEARCH("Core Activation",D66)),ISNUMBER(SEARCH("Core Design",D66)),ISNUMBER(SEARCH("Mobile Terminology",D66)),ISNUMBER(SEARCH("Mobile Design",D66)),ISNUMBER(SEARCH("Mobile Integration",D66)),ISNUMBER(SEARCH("Testing Layer",D66)),ISNUMBER(SEARCH("Testing Offshore",D66)),ISNUMBER(SEARCH("Carrier",D66)),ISNUMBER(SEARCH("Barrier",D66)),ISNUMBER(SEARCH("Tesing",D66))),"Billing PO","")</f>
        <v/>
      </c>
    </row>
    <row r="67">
      <c r="A67" s="1" t="inlineStr">
        <is>
          <t>9O9 - HTP Value Engineering</t>
        </is>
      </c>
      <c r="B67" s="1" t="inlineStr">
        <is>
          <t>LB09O9</t>
        </is>
      </c>
      <c r="C67" s="1" t="inlineStr">
        <is>
          <t>HTP Value Engineering</t>
        </is>
      </c>
      <c r="D67" t="inlineStr">
        <is>
          <t>Conformance Testing</t>
        </is>
      </c>
      <c r="E67">
        <f>E60</f>
        <v/>
      </c>
      <c r="F67">
        <f>IF(OR(ISNUMBER(SEARCH("Core Activation",D67)),ISNUMBER(SEARCH("Core Design",D67)),ISNUMBER(SEARCH("Mobile Terminology",D67)),ISNUMBER(SEARCH("Mobile Design",D67)),ISNUMBER(SEARCH("Mobile Integration",D67)),ISNUMBER(SEARCH("Testing Layer",D67)),ISNUMBER(SEARCH("Testing Offshore",D67)),ISNUMBER(SEARCH("Carrier",D67)),ISNUMBER(SEARCH("Barrier",D67)),ISNUMBER(SEARCH("Tesing",D67))),"Billing PO","")</f>
        <v/>
      </c>
    </row>
    <row r="68">
      <c r="A68" s="1" t="inlineStr">
        <is>
          <t>PLT Admin</t>
        </is>
      </c>
      <c r="B68" s="1" t="inlineStr">
        <is>
          <t>EXT023</t>
        </is>
      </c>
      <c r="C68" s="1" t="inlineStr">
        <is>
          <t>Manufacturing</t>
        </is>
      </c>
      <c r="D68" t="inlineStr">
        <is>
          <t>IVR Testing</t>
        </is>
      </c>
      <c r="E68">
        <f>E61</f>
        <v/>
      </c>
      <c r="F68">
        <f>IF(OR(ISNUMBER(SEARCH("Core Activation",D68)),ISNUMBER(SEARCH("Core Design",D68)),ISNUMBER(SEARCH("Mobile Terminology",D68)),ISNUMBER(SEARCH("Mobile Design",D68)),ISNUMBER(SEARCH("Mobile Integration",D68)),ISNUMBER(SEARCH("Testing Layer",D68)),ISNUMBER(SEARCH("Testing Offshore",D68)),ISNUMBER(SEARCH("Carrier",D68)),ISNUMBER(SEARCH("Barrier",D68)),ISNUMBER(SEARCH("Tesing",D68))),"Billing PO","")</f>
        <v/>
      </c>
    </row>
    <row r="69">
      <c r="A69" s="1" t="inlineStr">
        <is>
          <t>9P9 - PLT Admin</t>
        </is>
      </c>
      <c r="B69" s="1" t="inlineStr">
        <is>
          <t>LB09P9</t>
        </is>
      </c>
      <c r="C69" s="1" t="inlineStr">
        <is>
          <t>PLT Admin</t>
        </is>
      </c>
      <c r="D69" t="inlineStr">
        <is>
          <t>Performance Testing</t>
        </is>
      </c>
      <c r="E69">
        <f>E62</f>
        <v/>
      </c>
      <c r="F69">
        <f>IF(OR(ISNUMBER(SEARCH("Core Activation",D69)),ISNUMBER(SEARCH("Core Design",D69)),ISNUMBER(SEARCH("Mobile Terminology",D69)),ISNUMBER(SEARCH("Mobile Design",D69)),ISNUMBER(SEARCH("Mobile Integration",D69)),ISNUMBER(SEARCH("Testing Layer",D69)),ISNUMBER(SEARCH("Testing Offshore",D69)),ISNUMBER(SEARCH("Carrier",D69)),ISNUMBER(SEARCH("Barrier",D69)),ISNUMBER(SEARCH("Tesing",D69))),"Billing PO","")</f>
        <v/>
      </c>
    </row>
    <row r="70">
      <c r="A70" s="1" t="inlineStr">
        <is>
          <t>PLT Tape &amp; Integrated Products</t>
        </is>
      </c>
      <c r="B70" s="1" t="inlineStr">
        <is>
          <t>EXT023</t>
        </is>
      </c>
      <c r="C70" s="1" t="inlineStr">
        <is>
          <t>Manufacturing</t>
        </is>
      </c>
      <c r="D70" t="inlineStr">
        <is>
          <t>Security Testing</t>
        </is>
      </c>
      <c r="E70">
        <f>E63</f>
        <v/>
      </c>
      <c r="F70">
        <f>IF(OR(ISNUMBER(SEARCH("Core Activation",D70)),ISNUMBER(SEARCH("Core Design",D70)),ISNUMBER(SEARCH("Mobile Terminology",D70)),ISNUMBER(SEARCH("Mobile Design",D70)),ISNUMBER(SEARCH("Mobile Integration",D70)),ISNUMBER(SEARCH("Testing Layer",D70)),ISNUMBER(SEARCH("Testing Offshore",D70)),ISNUMBER(SEARCH("Carrier",D70)),ISNUMBER(SEARCH("Barrier",D70)),ISNUMBER(SEARCH("Tesing",D70))),"Billing PO","")</f>
        <v/>
      </c>
    </row>
    <row r="71">
      <c r="A71" s="1" t="inlineStr">
        <is>
          <t>9R9 - PLT Tape &amp; Integrated Products</t>
        </is>
      </c>
      <c r="B71" s="1" t="inlineStr">
        <is>
          <t>LB09R9</t>
        </is>
      </c>
      <c r="C71" s="1" t="inlineStr">
        <is>
          <t>PLT Tape &amp; Integrated Products</t>
        </is>
      </c>
      <c r="D71" t="inlineStr">
        <is>
          <t>Interoperability Testing</t>
        </is>
      </c>
      <c r="E71">
        <f>E64</f>
        <v/>
      </c>
      <c r="F71">
        <f>IF(OR(ISNUMBER(SEARCH("Core Activation",D71)),ISNUMBER(SEARCH("Core Design",D71)),ISNUMBER(SEARCH("Mobile Terminology",D71)),ISNUMBER(SEARCH("Mobile Design",D71)),ISNUMBER(SEARCH("Mobile Integration",D71)),ISNUMBER(SEARCH("Testing Layer",D71)),ISNUMBER(SEARCH("Testing Offshore",D71)),ISNUMBER(SEARCH("Carrier",D71)),ISNUMBER(SEARCH("Barrier",D71)),ISNUMBER(SEARCH("Tesing",D71))),"Billing PO","")</f>
        <v/>
      </c>
    </row>
  </sheetData>
  <hyperlinks>
    <hyperlink xmlns:r="http://schemas.openxmlformats.org/officeDocument/2006/relationships" ref="D21" display="https://www.guru99.com/performance-testing.html" r:id="rId1"/>
    <hyperlink xmlns:r="http://schemas.openxmlformats.org/officeDocument/2006/relationships" ref="D22" display="https://www.guru99.com/what-is-security-testing.html" r:id="rId2"/>
    <hyperlink xmlns:r="http://schemas.openxmlformats.org/officeDocument/2006/relationships" ref="D26" display="https://www.guru99.com/automation-testing.html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10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2026-09-06T09:57:44Z</dcterms:modified>
  <cp:lastModifiedBy>QINGHE CHEN</cp:lastModifiedBy>
</cp:coreProperties>
</file>