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ATTENDENCE" sheetId="1" state="visible" r:id="rId1"/>
  </sheets>
  <definedNames>
    <definedName name="_xlnm.Print_Area" localSheetId="0">'ATTENDENCE'!$A$1:$AQ$12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000"/>
    <numFmt numFmtId="165" formatCode="_(* #,##0.0_);_(* \(#,##0.0\);_(* &quot;-&quot;??_);_(@_)"/>
    <numFmt numFmtId="166" formatCode="0.0"/>
    <numFmt numFmtId="167" formatCode="dd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12" fillId="0" borderId="0"/>
    <xf numFmtId="43" fontId="12" fillId="0" borderId="0"/>
  </cellStyleXfs>
  <cellXfs count="1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165" fontId="3" fillId="0" borderId="0" pivotButton="0" quotePrefix="0" xfId="1"/>
    <xf numFmtId="41" fontId="1" fillId="0" borderId="0" applyAlignment="1" pivotButton="0" quotePrefix="0" xfId="1">
      <alignment horizontal="center"/>
    </xf>
    <xf numFmtId="166" fontId="1" fillId="0" borderId="0" pivotButton="0" quotePrefix="0" xfId="1"/>
    <xf numFmtId="166" fontId="1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0" fontId="5" fillId="0" borderId="4" pivotButton="0" quotePrefix="0" xfId="0"/>
    <xf numFmtId="164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/>
    </xf>
    <xf numFmtId="2" fontId="5" fillId="0" borderId="7" applyAlignment="1" pivotButton="0" quotePrefix="0" xfId="0">
      <alignment horizontal="left"/>
    </xf>
    <xf numFmtId="0" fontId="5" fillId="0" borderId="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/>
    </xf>
    <xf numFmtId="164" fontId="6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49" fontId="7" fillId="0" borderId="12" applyAlignment="1" pivotButton="0" quotePrefix="0" xfId="0">
      <alignment horizontal="left" vertical="center" wrapText="1"/>
    </xf>
    <xf numFmtId="1" fontId="3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165" fontId="3" fillId="0" borderId="0" pivotButton="0" quotePrefix="0" xfId="1"/>
    <xf numFmtId="41" fontId="2" fillId="0" borderId="12" applyAlignment="1" pivotButton="0" quotePrefix="0" xfId="1">
      <alignment horizontal="center"/>
    </xf>
    <xf numFmtId="41" fontId="1" fillId="0" borderId="0" applyAlignment="1" pivotButton="0" quotePrefix="0" xfId="1">
      <alignment horizontal="left"/>
    </xf>
    <xf numFmtId="41" fontId="1" fillId="0" borderId="0" applyAlignment="1" pivotButton="0" quotePrefix="0" xfId="1">
      <alignment horizontal="center"/>
    </xf>
    <xf numFmtId="165" fontId="3" fillId="0" borderId="0" pivotButton="0" quotePrefix="0" xfId="1"/>
    <xf numFmtId="0" fontId="9" fillId="0" borderId="0" applyAlignment="1" pivotButton="0" quotePrefix="0" xfId="0">
      <alignment horizontal="left"/>
    </xf>
    <xf numFmtId="165" fontId="9" fillId="0" borderId="0" applyAlignment="1" pivotButton="0" quotePrefix="0" xfId="1">
      <alignment horizontal="left"/>
    </xf>
    <xf numFmtId="0" fontId="5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0" fillId="0" borderId="12" applyAlignment="1" pivotButton="0" quotePrefix="0" xfId="0">
      <alignment horizontal="center" vertical="center"/>
    </xf>
    <xf numFmtId="41" fontId="3" fillId="0" borderId="0" applyAlignment="1" pivotButton="0" quotePrefix="0" xfId="1">
      <alignment horizontal="left" vertical="center"/>
    </xf>
    <xf numFmtId="0" fontId="5" fillId="0" borderId="12" applyAlignment="1" pivotButton="0" quotePrefix="0" xfId="0">
      <alignment horizontal="center"/>
    </xf>
    <xf numFmtId="0" fontId="10" fillId="0" borderId="12" applyAlignment="1" pivotButton="0" quotePrefix="0" xfId="0">
      <alignment horizontal="center" vertical="center" wrapText="1"/>
    </xf>
    <xf numFmtId="14" fontId="3" fillId="0" borderId="0" applyAlignment="1" pivotButton="0" quotePrefix="0" xfId="0">
      <alignment horizontal="left"/>
    </xf>
    <xf numFmtId="49" fontId="10" fillId="0" borderId="7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" fillId="0" borderId="0" applyAlignment="1" pivotButton="0" quotePrefix="0" xfId="0">
      <alignment horizontal="left"/>
    </xf>
    <xf numFmtId="41" fontId="1" fillId="0" borderId="0" applyAlignment="1" pivotButton="0" quotePrefix="0" xfId="1">
      <alignment horizontal="left" vertical="center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0" fontId="2" fillId="0" borderId="0" applyAlignment="1" pivotButton="0" quotePrefix="0" xfId="0">
      <alignment horizontal="center" vertical="center"/>
    </xf>
    <xf numFmtId="41" fontId="1" fillId="0" borderId="0" applyAlignment="1" pivotButton="0" quotePrefix="0" xfId="1">
      <alignment vertical="center"/>
    </xf>
    <xf numFmtId="41" fontId="1" fillId="0" borderId="0" applyAlignment="1" pivotButton="0" quotePrefix="0" xfId="1">
      <alignment horizontal="left"/>
    </xf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1" fontId="2" fillId="0" borderId="1" applyAlignment="1" pivotButton="0" quotePrefix="0" xfId="1">
      <alignment horizontal="center" vertical="center" textRotation="255" wrapText="1"/>
    </xf>
    <xf numFmtId="41" fontId="2" fillId="0" borderId="11" applyAlignment="1" pivotButton="0" quotePrefix="0" xfId="1">
      <alignment horizontal="center" vertical="center" textRotation="255" wrapText="1"/>
    </xf>
    <xf numFmtId="0" fontId="5" fillId="0" borderId="0" applyAlignment="1" pivotButton="0" quotePrefix="0" xfId="0">
      <alignment horizontal="center" vertical="center" wrapText="1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1" fillId="0" borderId="20" applyAlignment="1" pivotButton="0" quotePrefix="0" xfId="0">
      <alignment horizontal="center" vertical="center" wrapText="1"/>
    </xf>
    <xf numFmtId="166" fontId="1" fillId="0" borderId="0" pivotButton="0" quotePrefix="0" xfId="1"/>
    <xf numFmtId="0" fontId="1" fillId="0" borderId="0" applyAlignment="1" pivotButton="0" quotePrefix="0" xfId="0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165" fontId="5" fillId="0" borderId="6" applyAlignment="1" pivotButton="0" quotePrefix="0" xfId="1">
      <alignment horizontal="center"/>
    </xf>
    <xf numFmtId="166" fontId="2" fillId="0" borderId="16" applyAlignment="1" pivotButton="0" quotePrefix="0" xfId="0">
      <alignment horizontal="center" vertical="center" wrapText="1"/>
    </xf>
    <xf numFmtId="166" fontId="2" fillId="0" borderId="17" applyAlignment="1" pivotButton="0" quotePrefix="0" xfId="0">
      <alignment horizontal="center" vertical="center" wrapText="1"/>
    </xf>
    <xf numFmtId="166" fontId="2" fillId="0" borderId="18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center" vertical="center"/>
    </xf>
    <xf numFmtId="165" fontId="3" fillId="0" borderId="0" pivotButton="0" quotePrefix="0" xfId="1"/>
    <xf numFmtId="166" fontId="1" fillId="0" borderId="0" pivotButton="0" quotePrefix="0" xfId="1"/>
    <xf numFmtId="166" fontId="1" fillId="0" borderId="0" pivotButton="0" quotePrefix="0" xfId="0"/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165" fontId="3" fillId="0" borderId="2" applyAlignment="1" pivotButton="0" quotePrefix="0" xfId="1">
      <alignment horizontal="center" vertical="center"/>
    </xf>
    <xf numFmtId="165" fontId="3" fillId="0" borderId="3" pivotButton="0" quotePrefix="0" xfId="1"/>
    <xf numFmtId="165" fontId="5" fillId="2" borderId="2" applyAlignment="1" pivotButton="0" quotePrefix="0" xfId="1">
      <alignment horizontal="center" vertical="center"/>
    </xf>
    <xf numFmtId="165" fontId="5" fillId="3" borderId="2" applyAlignment="1" pivotButton="0" quotePrefix="0" xfId="1">
      <alignment horizontal="center" vertical="center" wrapText="1"/>
    </xf>
    <xf numFmtId="0" fontId="0" fillId="0" borderId="2" pivotButton="0" quotePrefix="0" xfId="0"/>
    <xf numFmtId="165" fontId="5" fillId="3" borderId="2" applyAlignment="1" pivotButton="0" quotePrefix="0" xfId="1">
      <alignment vertical="center"/>
    </xf>
    <xf numFmtId="165" fontId="5" fillId="3" borderId="2" applyAlignment="1" pivotButton="0" quotePrefix="0" xfId="1">
      <alignment horizontal="center" vertical="center"/>
    </xf>
    <xf numFmtId="166" fontId="2" fillId="0" borderId="2" applyAlignment="1" pivotButton="0" quotePrefix="0" xfId="1">
      <alignment horizontal="center" vertical="center"/>
    </xf>
    <xf numFmtId="166" fontId="2" fillId="0" borderId="2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1">
      <alignment horizontal="center"/>
    </xf>
    <xf numFmtId="0" fontId="0" fillId="0" borderId="22" pivotButton="0" quotePrefix="0" xfId="0"/>
    <xf numFmtId="166" fontId="2" fillId="0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164" fontId="6" fillId="0" borderId="9" applyAlignment="1" pivotButton="0" quotePrefix="0" xfId="0">
      <alignment horizontal="center" vertical="center"/>
    </xf>
    <xf numFmtId="165" fontId="6" fillId="0" borderId="9" applyAlignment="1" pivotButton="0" quotePrefix="0" xfId="1">
      <alignment horizontal="center" vertical="center"/>
    </xf>
    <xf numFmtId="167" fontId="5" fillId="0" borderId="9" applyAlignment="1" pivotButton="0" quotePrefix="0" xfId="0">
      <alignment horizontal="center" vertical="center"/>
    </xf>
    <xf numFmtId="166" fontId="2" fillId="0" borderId="19" applyAlignment="1" pivotButton="0" quotePrefix="0" xfId="1">
      <alignment horizontal="center" vertical="center" textRotation="255" wrapText="1"/>
    </xf>
    <xf numFmtId="166" fontId="2" fillId="0" borderId="19" applyAlignment="1" pivotButton="0" quotePrefix="0" xfId="0">
      <alignment horizontal="center" vertical="center" textRotation="255" wrapText="1"/>
    </xf>
    <xf numFmtId="166" fontId="11" fillId="0" borderId="19" applyAlignment="1" pivotButton="0" quotePrefix="0" xfId="0">
      <alignment horizontal="center" textRotation="255" wrapText="1"/>
    </xf>
    <xf numFmtId="164" fontId="5" fillId="0" borderId="10" applyAlignment="1" pivotButton="0" quotePrefix="0" xfId="0">
      <alignment horizontal="left" vertical="center"/>
    </xf>
    <xf numFmtId="164" fontId="5" fillId="0" borderId="11" applyAlignment="1" pivotButton="0" quotePrefix="0" xfId="0">
      <alignment horizontal="center" vertical="center"/>
    </xf>
    <xf numFmtId="165" fontId="6" fillId="0" borderId="11" applyAlignment="1" pivotButton="0" quotePrefix="0" xfId="1">
      <alignment horizontal="center" vertical="center"/>
    </xf>
    <xf numFmtId="166" fontId="2" fillId="0" borderId="11" applyAlignment="1" pivotButton="0" quotePrefix="0" xfId="1">
      <alignment horizontal="center" vertical="center" textRotation="255" wrapText="1"/>
    </xf>
    <xf numFmtId="166" fontId="2" fillId="0" borderId="11" applyAlignment="1" pivotButton="0" quotePrefix="0" xfId="0">
      <alignment horizontal="center" vertical="center" textRotation="255" wrapText="1"/>
    </xf>
    <xf numFmtId="166" fontId="11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2" fillId="0" borderId="0" applyAlignment="1" pivotButton="0" quotePrefix="0" xfId="1">
      <alignment horizontal="center" vertical="center"/>
    </xf>
    <xf numFmtId="166" fontId="1" fillId="0" borderId="0" applyAlignment="1" pivotButton="0" quotePrefix="0" xfId="1">
      <alignment vertical="center"/>
    </xf>
    <xf numFmtId="165" fontId="9" fillId="0" borderId="0" applyAlignment="1" pivotButton="0" quotePrefix="0" xfId="1">
      <alignment horizontal="left"/>
    </xf>
  </cellXfs>
  <cellStyles count="2">
    <cellStyle name="Normal" xfId="0" builtinId="0"/>
    <cellStyle name="Comma" xfId="1" builtinId="3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698500</colOff>
      <row>0</row>
      <rowOff>57150</rowOff>
    </from>
    <to>
      <col>3</col>
      <colOff>342900</colOff>
      <row>1</row>
      <rowOff>206375</rowOff>
    </to>
    <pic>
      <nvPicPr>
        <cNvPr id="1045" name="Picture 1" descr="Logo-Oct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546225" y="57150"/>
          <a:ext cx="1071245" cy="396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"/>
  <sheetViews>
    <sheetView tabSelected="1" zoomScale="80" zoomScaleNormal="8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G8" sqref="G8"/>
    </sheetView>
  </sheetViews>
  <sheetFormatPr baseColWidth="8" defaultColWidth="9.15234375" defaultRowHeight="16.75"/>
  <cols>
    <col width="4.3828125" customWidth="1" style="5" min="1" max="1"/>
    <col width="7.69140625" customWidth="1" style="92" min="2" max="2"/>
    <col width="20.3828125" customWidth="1" style="7" min="3" max="3"/>
    <col width="5.53515625" customWidth="1" style="93" min="4" max="4"/>
    <col width="4.69140625" customWidth="1" style="93" min="5" max="5"/>
    <col width="7" customWidth="1" style="5" min="6" max="6"/>
    <col width="6.3828125" customWidth="1" style="5" min="7" max="7"/>
    <col width="4.69140625" customWidth="1" style="5" min="8" max="10"/>
    <col width="5.53515625" customWidth="1" style="5" min="11" max="11"/>
    <col width="6.15234375" customWidth="1" style="5" min="12" max="12"/>
    <col width="4.69140625" customWidth="1" style="5" min="13" max="15"/>
    <col width="4" customWidth="1" style="5" min="16" max="16"/>
    <col width="4.69140625" customWidth="1" style="5" min="17" max="31"/>
    <col width="4.53515625" customWidth="1" style="5" min="32" max="32"/>
    <col width="5.15234375" customWidth="1" style="5" min="33" max="33"/>
    <col width="4.69140625" customWidth="1" style="5" min="34" max="34"/>
    <col width="5" customWidth="1" style="1" min="35" max="35"/>
    <col width="4.84375" customWidth="1" style="41" min="36" max="36"/>
    <col hidden="1" width="5" customWidth="1" style="41" min="37" max="37"/>
    <col hidden="1" width="3.84375" customWidth="1" style="41" min="38" max="40"/>
    <col width="3.84375" customWidth="1" style="94" min="41" max="41"/>
    <col width="5.15234375" customWidth="1" style="95" min="42" max="42"/>
    <col width="5.69140625" customWidth="1" style="95" min="43" max="43"/>
    <col width="9.15234375" customWidth="1" style="1" min="44" max="16384"/>
  </cols>
  <sheetData>
    <row r="1" ht="18.45" customHeight="1">
      <c r="A1" s="12" t="inlineStr">
        <is>
          <t xml:space="preserve"> 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</row>
    <row r="2" ht="23.25" customHeight="1">
      <c r="A2" s="96" t="n"/>
      <c r="B2" s="96" t="n"/>
      <c r="C2" s="97" t="n"/>
      <c r="D2" s="98" t="n"/>
      <c r="E2" s="99" t="n"/>
      <c r="F2" s="100" t="n"/>
      <c r="G2" s="101" t="inlineStr">
        <is>
          <t>21st Oct'15-20th Nov'15</t>
        </is>
      </c>
      <c r="H2" s="102" t="n"/>
      <c r="I2" s="102" t="n"/>
      <c r="J2" s="102" t="n"/>
      <c r="K2" s="102" t="n"/>
      <c r="L2" s="102" t="n"/>
      <c r="M2" s="102" t="n"/>
      <c r="N2" s="102" t="n"/>
      <c r="O2" s="102" t="n"/>
      <c r="P2" s="102" t="n"/>
      <c r="Q2" s="102" t="n"/>
      <c r="R2" s="102" t="n"/>
      <c r="S2" s="102" t="n"/>
      <c r="T2" s="102" t="n"/>
      <c r="U2" s="102" t="n"/>
      <c r="V2" s="102" t="n"/>
      <c r="W2" s="102" t="n"/>
      <c r="X2" s="102" t="n"/>
      <c r="Y2" s="102" t="n"/>
      <c r="Z2" s="102" t="n"/>
      <c r="AA2" s="102" t="n"/>
      <c r="AB2" s="102" t="n"/>
      <c r="AC2" s="102" t="n"/>
      <c r="AD2" s="102" t="n"/>
      <c r="AE2" s="102" t="n"/>
      <c r="AF2" s="102" t="n"/>
      <c r="AG2" s="102" t="n"/>
      <c r="AH2" s="102" t="n"/>
      <c r="AI2" s="102" t="n"/>
      <c r="AJ2" s="102" t="n"/>
      <c r="AK2" s="103" t="n"/>
      <c r="AL2" s="104" t="n"/>
      <c r="AM2" s="104" t="n"/>
      <c r="AN2" s="104" t="n"/>
      <c r="AO2" s="105" t="n"/>
      <c r="AP2" s="106" t="n"/>
      <c r="AQ2" s="106" t="n"/>
    </row>
    <row r="3" ht="32.25" customFormat="1" customHeight="1" s="2">
      <c r="A3" s="18" t="n"/>
      <c r="B3" s="107" t="n"/>
      <c r="C3" s="20" t="n"/>
      <c r="D3" s="108" t="inlineStr">
        <is>
          <t xml:space="preserve">Previous </t>
        </is>
      </c>
      <c r="E3" s="109" t="n"/>
      <c r="F3" s="21" t="inlineStr">
        <is>
          <t>Mon</t>
        </is>
      </c>
      <c r="G3" s="22" t="inlineStr">
        <is>
          <t>Tue</t>
        </is>
      </c>
      <c r="H3" s="22" t="inlineStr">
        <is>
          <t>Wed</t>
        </is>
      </c>
      <c r="I3" s="53" t="inlineStr">
        <is>
          <t>Thu</t>
        </is>
      </c>
      <c r="J3" s="54" t="inlineStr">
        <is>
          <t>Fri</t>
        </is>
      </c>
      <c r="K3" s="22" t="inlineStr">
        <is>
          <t>Sat</t>
        </is>
      </c>
      <c r="L3" s="22" t="inlineStr">
        <is>
          <t>Sun</t>
        </is>
      </c>
      <c r="M3" s="22" t="inlineStr">
        <is>
          <t>Mon</t>
        </is>
      </c>
      <c r="N3" s="22" t="inlineStr">
        <is>
          <t>Tue</t>
        </is>
      </c>
      <c r="O3" s="22" t="inlineStr">
        <is>
          <t>Wed</t>
        </is>
      </c>
      <c r="P3" s="54" t="inlineStr">
        <is>
          <t>Thu</t>
        </is>
      </c>
      <c r="Q3" s="53" t="inlineStr">
        <is>
          <t>Fri</t>
        </is>
      </c>
      <c r="R3" s="54" t="inlineStr">
        <is>
          <t>Sat</t>
        </is>
      </c>
      <c r="S3" s="22" t="inlineStr">
        <is>
          <t>Sun</t>
        </is>
      </c>
      <c r="T3" s="22" t="inlineStr">
        <is>
          <t>Mon</t>
        </is>
      </c>
      <c r="U3" s="22" t="inlineStr">
        <is>
          <t>Tue</t>
        </is>
      </c>
      <c r="V3" s="22" t="inlineStr">
        <is>
          <t>Wed</t>
        </is>
      </c>
      <c r="W3" s="22" t="inlineStr">
        <is>
          <t>Thu</t>
        </is>
      </c>
      <c r="X3" s="53" t="inlineStr">
        <is>
          <t>Fri</t>
        </is>
      </c>
      <c r="Y3" s="54" t="inlineStr">
        <is>
          <t>Sat</t>
        </is>
      </c>
      <c r="Z3" s="22" t="inlineStr">
        <is>
          <t>Sun</t>
        </is>
      </c>
      <c r="AA3" s="22" t="inlineStr">
        <is>
          <t>Mon</t>
        </is>
      </c>
      <c r="AB3" s="22" t="inlineStr">
        <is>
          <t>Tue</t>
        </is>
      </c>
      <c r="AC3" s="22" t="inlineStr">
        <is>
          <t>Wed</t>
        </is>
      </c>
      <c r="AD3" s="22" t="inlineStr">
        <is>
          <t>Thu</t>
        </is>
      </c>
      <c r="AE3" s="53" t="inlineStr">
        <is>
          <t>TH</t>
        </is>
      </c>
      <c r="AF3" s="54" t="inlineStr">
        <is>
          <t>F</t>
        </is>
      </c>
      <c r="AG3" s="22" t="inlineStr">
        <is>
          <t>S</t>
        </is>
      </c>
      <c r="AH3" s="22" t="inlineStr">
        <is>
          <t>SU</t>
        </is>
      </c>
      <c r="AI3" s="22" t="inlineStr">
        <is>
          <t>M</t>
        </is>
      </c>
      <c r="AJ3" s="22" t="inlineStr">
        <is>
          <t>TU</t>
        </is>
      </c>
      <c r="AK3" s="54" t="inlineStr">
        <is>
          <t>F</t>
        </is>
      </c>
      <c r="AL3" s="22" t="inlineStr">
        <is>
          <t>W</t>
        </is>
      </c>
      <c r="AM3" s="54" t="inlineStr">
        <is>
          <t>TH</t>
        </is>
      </c>
      <c r="AN3" s="54" t="inlineStr">
        <is>
          <t>F</t>
        </is>
      </c>
      <c r="AO3" s="110" t="inlineStr">
        <is>
          <t xml:space="preserve">CURRENT PENDING </t>
        </is>
      </c>
      <c r="AP3" s="111" t="n"/>
      <c r="AQ3" s="112" t="n"/>
    </row>
    <row r="4" ht="66" customFormat="1" customHeight="1" s="2">
      <c r="A4" s="23" t="inlineStr">
        <is>
          <t>NO</t>
        </is>
      </c>
      <c r="B4" s="113" t="inlineStr">
        <is>
          <t>Emp #</t>
        </is>
      </c>
      <c r="C4" s="25" t="inlineStr">
        <is>
          <t>NAMES</t>
        </is>
      </c>
      <c r="D4" s="114" t="inlineStr">
        <is>
          <t>PO</t>
        </is>
      </c>
      <c r="E4" s="114" t="inlineStr">
        <is>
          <t>PH</t>
        </is>
      </c>
      <c r="F4" s="115" t="n">
        <v>42298</v>
      </c>
      <c r="G4" s="115" t="n">
        <v>42299</v>
      </c>
      <c r="H4" s="115" t="n">
        <v>42300</v>
      </c>
      <c r="I4" s="115" t="n">
        <v>42301</v>
      </c>
      <c r="J4" s="115" t="n">
        <v>42302</v>
      </c>
      <c r="K4" s="115" t="n">
        <v>42303</v>
      </c>
      <c r="L4" s="115" t="n">
        <v>42304</v>
      </c>
      <c r="M4" s="115" t="n">
        <v>42305</v>
      </c>
      <c r="N4" s="115" t="n">
        <v>42306</v>
      </c>
      <c r="O4" s="115" t="n">
        <v>42307</v>
      </c>
      <c r="P4" s="115" t="n">
        <v>42308</v>
      </c>
      <c r="Q4" s="115" t="n">
        <v>42309</v>
      </c>
      <c r="R4" s="115" t="n">
        <v>42310</v>
      </c>
      <c r="S4" s="115" t="n">
        <v>42311</v>
      </c>
      <c r="T4" s="115" t="n">
        <v>42312</v>
      </c>
      <c r="U4" s="115" t="n">
        <v>42313</v>
      </c>
      <c r="V4" s="115" t="n">
        <v>42314</v>
      </c>
      <c r="W4" s="115" t="n">
        <v>42315</v>
      </c>
      <c r="X4" s="115" t="n">
        <v>42316</v>
      </c>
      <c r="Y4" s="115" t="n">
        <v>42317</v>
      </c>
      <c r="Z4" s="115" t="n">
        <v>42318</v>
      </c>
      <c r="AA4" s="115" t="n">
        <v>42319</v>
      </c>
      <c r="AB4" s="115" t="n">
        <v>42320</v>
      </c>
      <c r="AC4" s="115" t="n">
        <v>42321</v>
      </c>
      <c r="AD4" s="115" t="n">
        <v>42322</v>
      </c>
      <c r="AE4" s="115" t="n">
        <v>42323</v>
      </c>
      <c r="AF4" s="115" t="n">
        <v>42324</v>
      </c>
      <c r="AG4" s="115" t="n">
        <v>42325</v>
      </c>
      <c r="AH4" s="115" t="n">
        <v>42326</v>
      </c>
      <c r="AI4" s="115" t="n">
        <v>42327</v>
      </c>
      <c r="AJ4" s="115" t="n">
        <v>42328</v>
      </c>
      <c r="AK4" s="67" t="n">
        <v>21</v>
      </c>
      <c r="AL4" s="67" t="n">
        <v>22</v>
      </c>
      <c r="AM4" s="67" t="n">
        <v>23</v>
      </c>
      <c r="AN4" s="67" t="n">
        <v>24</v>
      </c>
      <c r="AO4" s="116" t="inlineStr">
        <is>
          <t>PO</t>
        </is>
      </c>
      <c r="AP4" s="117" t="inlineStr">
        <is>
          <t>PH</t>
        </is>
      </c>
      <c r="AQ4" s="118" t="inlineStr">
        <is>
          <t xml:space="preserve">Total </t>
        </is>
      </c>
    </row>
    <row r="5" ht="16.5" customFormat="1" customHeight="1" s="3">
      <c r="A5" s="119" t="inlineStr">
        <is>
          <t>FINANCE/ACCOUNT</t>
        </is>
      </c>
      <c r="B5" s="120" t="n"/>
      <c r="C5" s="120" t="n"/>
      <c r="D5" s="121" t="n"/>
      <c r="E5" s="12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1" t="n"/>
      <c r="AG5" s="31" t="n"/>
      <c r="AH5" s="31" t="n"/>
      <c r="AI5" s="68" t="n"/>
      <c r="AJ5" s="69" t="n"/>
      <c r="AK5" s="70" t="n"/>
      <c r="AL5" s="70" t="n"/>
      <c r="AM5" s="70" t="n"/>
      <c r="AN5" s="70" t="n"/>
      <c r="AO5" s="122" t="n"/>
      <c r="AP5" s="123" t="n"/>
      <c r="AQ5" s="124" t="n"/>
    </row>
    <row r="6" ht="35.15" customFormat="1" customHeight="1" s="4">
      <c r="A6" s="32" t="n">
        <v>1</v>
      </c>
      <c r="B6" s="125" t="n"/>
      <c r="C6" s="34" t="inlineStr">
        <is>
          <t>Neeraj Sachar</t>
        </is>
      </c>
      <c r="D6" s="35">
        <f>18-1</f>
        <v/>
      </c>
      <c r="E6" s="35">
        <f>17-12</f>
        <v/>
      </c>
      <c r="F6" s="36">
        <f>IF(F3="F","O","P")</f>
        <v/>
      </c>
      <c r="G6" s="36">
        <f>IF(G3="F","O","P")</f>
        <v/>
      </c>
      <c r="H6" s="36">
        <f>IF(H3="F","O","P")</f>
        <v/>
      </c>
      <c r="I6" s="36">
        <f>IF(I3="F","O","P")</f>
        <v/>
      </c>
      <c r="J6" s="36">
        <f>IF(J3="F","O","P")</f>
        <v/>
      </c>
      <c r="K6" s="36">
        <f>IF(K3="F","O","P")</f>
        <v/>
      </c>
      <c r="L6" s="36">
        <f>IF(L3="F","O","P")</f>
        <v/>
      </c>
      <c r="M6" s="36">
        <f>IF(M3="F","O","P")</f>
        <v/>
      </c>
      <c r="N6" s="36">
        <f>IF(N3="F","O","P")</f>
        <v/>
      </c>
      <c r="O6" s="36">
        <f>IF(O3="F","O","P")</f>
        <v/>
      </c>
      <c r="P6" s="36">
        <f>IF(P3="F","O","P")</f>
        <v/>
      </c>
      <c r="Q6" s="36">
        <f>IF(Q3="F","O","P")</f>
        <v/>
      </c>
      <c r="R6" s="36" t="inlineStr">
        <is>
          <t>O</t>
        </is>
      </c>
      <c r="S6" s="36">
        <f>IF(S3="F","O","P")</f>
        <v/>
      </c>
      <c r="T6" s="36">
        <f>IF(T3="F","O","P")</f>
        <v/>
      </c>
      <c r="U6" s="36">
        <f>IF(U3="F","O","P")</f>
        <v/>
      </c>
      <c r="V6" s="36">
        <f>IF(V3="F","O","P")</f>
        <v/>
      </c>
      <c r="W6" s="36">
        <f>IF(W3="F","O","P")</f>
        <v/>
      </c>
      <c r="X6" s="36">
        <f>IF(X3="F","O","P")</f>
        <v/>
      </c>
      <c r="Y6" s="36" t="inlineStr">
        <is>
          <t>O</t>
        </is>
      </c>
      <c r="Z6" s="36">
        <f>IF(Z3="F","O","P")</f>
        <v/>
      </c>
      <c r="AA6" s="36">
        <f>IF(AA3="F","O","P")</f>
        <v/>
      </c>
      <c r="AB6" s="36">
        <f>IF(AB3="F","O","P")</f>
        <v/>
      </c>
      <c r="AC6" s="36">
        <f>IF(AC3="F","O","P")</f>
        <v/>
      </c>
      <c r="AD6" s="36">
        <f>IF(AD3="F","O","P")</f>
        <v/>
      </c>
      <c r="AE6" s="36" t="inlineStr">
        <is>
          <t>H</t>
        </is>
      </c>
      <c r="AF6" s="36" t="inlineStr">
        <is>
          <t>O</t>
        </is>
      </c>
      <c r="AG6" s="36">
        <f>IF(AG3="F","O","P")</f>
        <v/>
      </c>
      <c r="AH6" s="36">
        <f>IF(AH3="F","O","P")</f>
        <v/>
      </c>
      <c r="AI6" s="36">
        <f>IF(AI3="F","O","P")</f>
        <v/>
      </c>
      <c r="AJ6" s="36">
        <f>IF(AJ3="F","O","P")</f>
        <v/>
      </c>
      <c r="AK6" s="36" t="inlineStr">
        <is>
          <t>P</t>
        </is>
      </c>
      <c r="AL6" s="32" t="n"/>
      <c r="AM6" s="71" t="n"/>
      <c r="AN6" s="71" t="n"/>
      <c r="AO6" s="80">
        <f>18-1</f>
        <v/>
      </c>
      <c r="AP6" s="81" t="n">
        <v>5</v>
      </c>
      <c r="AQ6" s="82">
        <f>AO6+AP6</f>
        <v/>
      </c>
    </row>
    <row r="7" ht="12" customHeight="1">
      <c r="A7" s="37" t="n"/>
      <c r="D7" s="93" t="n"/>
      <c r="E7" s="93" t="n"/>
      <c r="AJ7" s="41" t="n"/>
      <c r="AK7" s="41" t="n"/>
      <c r="AL7" s="41" t="n"/>
      <c r="AM7" s="41" t="n"/>
      <c r="AN7" s="41" t="n"/>
      <c r="AO7" s="94" t="n"/>
    </row>
    <row r="8">
      <c r="A8" s="37" t="n"/>
      <c r="D8" s="93" t="n"/>
      <c r="E8" s="93" t="n"/>
      <c r="F8" s="39" t="inlineStr">
        <is>
          <t>IN</t>
        </is>
      </c>
      <c r="G8" s="64" t="inlineStr">
        <is>
          <t>Induction program</t>
        </is>
      </c>
      <c r="H8" s="41" t="n"/>
      <c r="I8" s="41" t="n"/>
      <c r="AJ8" s="41" t="n"/>
      <c r="AK8" s="41" t="n"/>
      <c r="AL8" s="41" t="n"/>
      <c r="AM8" s="41" t="n"/>
      <c r="AN8" s="41" t="n"/>
      <c r="AO8" s="94" t="n"/>
    </row>
    <row r="9" ht="23.15" customHeight="1">
      <c r="D9" s="5" t="n"/>
      <c r="E9" s="93" t="n"/>
      <c r="F9" s="32" t="inlineStr">
        <is>
          <t>po</t>
        </is>
      </c>
      <c r="G9" s="90" t="inlineStr">
        <is>
          <t xml:space="preserve">Pending off </t>
        </is>
      </c>
      <c r="K9" s="55" t="n"/>
      <c r="L9" s="55" t="n"/>
      <c r="M9" s="55" t="n"/>
      <c r="S9" s="41" t="n"/>
      <c r="T9" s="41" t="n"/>
      <c r="U9" s="126" t="n"/>
      <c r="V9" s="127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R9" s="84" t="n"/>
      <c r="AS9" s="84" t="n"/>
    </row>
    <row r="10" ht="23.15" customHeight="1">
      <c r="A10" s="43" t="n"/>
      <c r="B10" s="7" t="n"/>
      <c r="D10" s="5" t="n"/>
      <c r="E10" s="128" t="n"/>
      <c r="F10" s="45" t="inlineStr">
        <is>
          <t>P</t>
        </is>
      </c>
      <c r="G10" s="7" t="inlineStr">
        <is>
          <t xml:space="preserve">Present </t>
        </is>
      </c>
      <c r="H10" s="46" t="n"/>
      <c r="I10" s="46" t="n"/>
      <c r="J10" s="56" t="n"/>
      <c r="K10" s="57" t="n"/>
      <c r="L10" s="57" t="n"/>
      <c r="S10" s="4" t="n"/>
      <c r="T10" s="4" t="n"/>
      <c r="U10" s="62" t="n"/>
      <c r="V10" s="63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R10" s="84" t="n"/>
      <c r="AS10" s="84" t="n"/>
    </row>
    <row r="11" ht="23.15" customHeight="1">
      <c r="D11" s="93" t="n"/>
      <c r="E11" s="93" t="n"/>
      <c r="F11" s="45" t="inlineStr">
        <is>
          <t>PH</t>
        </is>
      </c>
      <c r="G11" s="47" t="inlineStr">
        <is>
          <t xml:space="preserve">Pending Holiday  </t>
        </is>
      </c>
      <c r="H11" s="7" t="n"/>
      <c r="I11" s="7" t="n"/>
      <c r="J11" s="58" t="n"/>
      <c r="S11" s="41" t="n"/>
      <c r="T11" s="41" t="n"/>
      <c r="U11" s="126" t="n"/>
      <c r="V11" s="127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O11" s="94" t="n"/>
    </row>
    <row r="12" ht="23.15" customHeight="1">
      <c r="A12" s="37" t="n"/>
      <c r="D12" s="93" t="n"/>
      <c r="E12" s="93" t="n"/>
      <c r="F12" s="48" t="inlineStr">
        <is>
          <t>O</t>
        </is>
      </c>
      <c r="G12" s="49" t="inlineStr">
        <is>
          <t>WEEKLY OFF</t>
        </is>
      </c>
      <c r="H12" s="7" t="n"/>
      <c r="I12" s="7" t="n"/>
      <c r="J12" s="59" t="n"/>
      <c r="S12" s="41" t="n"/>
      <c r="T12" s="41" t="n"/>
      <c r="AO12" s="94" t="n"/>
    </row>
    <row r="13">
      <c r="F13" s="50" t="inlineStr">
        <is>
          <t>V</t>
        </is>
      </c>
      <c r="G13" s="5" t="inlineStr">
        <is>
          <t>VACATION</t>
        </is>
      </c>
    </row>
    <row r="14">
      <c r="F14" s="51" t="inlineStr">
        <is>
          <t>H</t>
        </is>
      </c>
      <c r="G14" s="5" t="inlineStr">
        <is>
          <t>PUBLIC HOLIDAY</t>
        </is>
      </c>
    </row>
    <row r="15">
      <c r="F15" s="51" t="inlineStr">
        <is>
          <t>SC</t>
        </is>
      </c>
      <c r="G15" s="5" t="inlineStr">
        <is>
          <t>SICK LEAVE</t>
        </is>
      </c>
    </row>
    <row r="20">
      <c r="B20" s="7" t="n"/>
      <c r="C20" s="52" t="n">
        <v>41624</v>
      </c>
      <c r="F20" s="5">
        <f>TEXT(C20,"dddd")</f>
        <v/>
      </c>
    </row>
  </sheetData>
  <mergeCells count="4">
    <mergeCell ref="G2:AJ2"/>
    <mergeCell ref="D3:E3"/>
    <mergeCell ref="AO3:AQ3"/>
    <mergeCell ref="G9:J9"/>
  </mergeCells>
  <conditionalFormatting sqref="F6:AJ6">
    <cfRule type="expression" priority="3" dxfId="0">
      <formula>F6="O"</formula>
    </cfRule>
  </conditionalFormatting>
  <printOptions horizontalCentered="1"/>
  <pageMargins left="0" right="0" top="0.67" bottom="0" header="0.5" footer="0.25"/>
  <pageSetup orientation="landscape" paperSize="9" scale="5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JaneseD</dc:creator>
  <dcterms:created xmlns:dcterms="http://purl.org/dc/terms/" xmlns:xsi="http://www.w3.org/2001/XMLSchema-instance" xsi:type="dcterms:W3CDTF">2011-05-24T14:46:00Z</dcterms:created>
  <dcterms:modified xmlns:dcterms="http://purl.org/dc/terms/" xmlns:xsi="http://www.w3.org/2001/XMLSchema-instance" xsi:type="dcterms:W3CDTF">2026-09-05T14:09:14Z</dcterms:modified>
  <cp:lastModifiedBy>Osama Benkhayal</cp:lastModifiedBy>
  <cp:lastPrinted>2015-10-22T09:58:00Z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DF7CCBEA4992428CAE0D231A29844E31_12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