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8880" tabRatio="600" firstSheet="0" activeTab="0" autoFilterDateGrouping="1"/>
  </bookViews>
  <sheets>
    <sheet xmlns:r="http://schemas.openxmlformats.org/officeDocument/2006/relationships" name="DATABASE Countries" sheetId="1" state="visible" r:id="rId1"/>
  </sheets>
  <externalReferences>
    <externalReference xmlns:r="http://schemas.openxmlformats.org/officeDocument/2006/relationships" r:id="rId2"/>
  </externalReferences>
  <definedNames>
    <definedName name="AccessDatabase" hidden="1">"A:\Forecast Nov 98.mdb"</definedName>
    <definedName name="Comp1">[1]Info!$D$17</definedName>
    <definedName name="Comp2">[1]Info!$D$18</definedName>
    <definedName name="Comp3">[1]Info!$D$19</definedName>
    <definedName name="Comp4">[1]Info!$D$20</definedName>
    <definedName name="Comp5">[1]Info!$D$21</definedName>
    <definedName name="Comp6">[1]Info!$D$22</definedName>
    <definedName name="Comp7">[1]Info!$D$23</definedName>
    <definedName name="Hotelname">[1]Info!$A$6</definedName>
    <definedName name="tax">#REF!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15">
    <font>
      <name val="等线"/>
      <charset val="134"/>
      <color theme="1"/>
      <sz val="12"/>
      <scheme val="minor"/>
    </font>
    <font>
      <name val="Century Gothic"/>
      <family val="1"/>
      <b val="1"/>
      <color rgb="FFFF0000"/>
      <sz val="18"/>
    </font>
    <font>
      <name val="Century Gothic"/>
      <family val="1"/>
      <color theme="0" tint="-0.1499679555650502"/>
      <sz val="12"/>
    </font>
    <font>
      <name val="Century Gothic"/>
      <family val="1"/>
      <i val="1"/>
      <color theme="0" tint="-0.3499862666707358"/>
      <sz val="14"/>
    </font>
    <font>
      <name val="Century Gothic"/>
      <family val="1"/>
      <b val="1"/>
      <color theme="1"/>
      <sz val="18"/>
    </font>
    <font>
      <name val="Century Gothic"/>
      <family val="1"/>
      <b val="1"/>
      <color theme="1"/>
      <sz val="14"/>
    </font>
    <font>
      <name val="Century Gothic"/>
      <family val="1"/>
      <color theme="1"/>
      <sz val="12"/>
    </font>
    <font>
      <name val="等线"/>
      <charset val="134"/>
      <family val="4"/>
      <color rgb="FF9C0006"/>
      <sz val="12"/>
      <scheme val="minor"/>
    </font>
    <font>
      <name val="等线"/>
      <charset val="134"/>
      <family val="4"/>
      <color rgb="FF006100"/>
      <sz val="12"/>
      <scheme val="minor"/>
    </font>
    <font>
      <name val="Century Gothic"/>
      <family val="1"/>
      <b val="1"/>
      <color theme="1"/>
      <sz val="12"/>
    </font>
    <font>
      <name val="Century Gothic"/>
      <family val="1"/>
      <sz val="12"/>
    </font>
    <font>
      <name val="等线"/>
      <charset val="134"/>
      <family val="4"/>
      <color rgb="FF9C5700"/>
      <sz val="12"/>
      <scheme val="minor"/>
    </font>
    <font>
      <name val="Tahoma"/>
      <family val="2"/>
      <sz val="10"/>
    </font>
    <font>
      <name val="等线"/>
      <charset val="134"/>
      <family val="4"/>
      <color theme="1"/>
      <sz val="12"/>
      <scheme val="minor"/>
    </font>
    <font>
      <name val="等线"/>
      <charset val="134"/>
      <family val="4"/>
      <sz val="9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8F2AD"/>
        <bgColor indexed="64"/>
      </patternFill>
    </fill>
    <fill>
      <patternFill patternType="solid">
        <fgColor rgb="FFFDF4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511703848384"/>
        <bgColor theme="8" tint="0.7999511703848384"/>
      </patternFill>
    </fill>
    <fill>
      <patternFill patternType="solid">
        <fgColor rgb="FFFFEB9C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8"/>
      </bottom>
      <diagonal/>
    </border>
  </borders>
  <cellStyleXfs count="6">
    <xf numFmtId="0" fontId="0" fillId="0" borderId="0"/>
    <xf numFmtId="43" fontId="13" fillId="0" borderId="0"/>
    <xf numFmtId="0" fontId="8" fillId="6" borderId="0"/>
    <xf numFmtId="0" fontId="7" fillId="5" borderId="0"/>
    <xf numFmtId="0" fontId="11" fillId="8" borderId="0"/>
    <xf numFmtId="0" fontId="12" fillId="0" borderId="0"/>
  </cellStyleXfs>
  <cellXfs count="4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1" fillId="2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38" fontId="5" fillId="2" borderId="0" applyAlignment="1" pivotButton="0" quotePrefix="0" xfId="0">
      <alignment vertical="center"/>
    </xf>
    <xf numFmtId="0" fontId="6" fillId="0" borderId="0" pivotButton="0" quotePrefix="0" xfId="0"/>
    <xf numFmtId="0" fontId="6" fillId="3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6" fillId="4" borderId="1" applyAlignment="1" pivotButton="0" quotePrefix="0" xfId="0">
      <alignment horizontal="left"/>
    </xf>
    <xf numFmtId="164" fontId="6" fillId="4" borderId="2" applyAlignment="1" pivotButton="0" quotePrefix="0" xfId="1">
      <alignment horizontal="right"/>
    </xf>
    <xf numFmtId="164" fontId="6" fillId="2" borderId="2" applyAlignment="1" pivotButton="0" quotePrefix="0" xfId="1">
      <alignment horizontal="right"/>
    </xf>
    <xf numFmtId="3" fontId="2" fillId="0" borderId="0" pivotButton="0" quotePrefix="0" xfId="0"/>
    <xf numFmtId="0" fontId="6" fillId="2" borderId="1" applyAlignment="1" pivotButton="0" quotePrefix="0" xfId="0">
      <alignment horizontal="left" vertical="center"/>
    </xf>
    <xf numFmtId="38" fontId="7" fillId="5" borderId="2" applyAlignment="1" pivotButton="0" quotePrefix="0" xfId="3">
      <alignment horizontal="right"/>
    </xf>
    <xf numFmtId="0" fontId="6" fillId="4" borderId="3" applyAlignment="1" pivotButton="0" quotePrefix="0" xfId="0">
      <alignment horizontal="left" vertical="center"/>
    </xf>
    <xf numFmtId="164" fontId="6" fillId="4" borderId="4" applyAlignment="1" pivotButton="0" quotePrefix="0" xfId="1">
      <alignment horizontal="right"/>
    </xf>
    <xf numFmtId="164" fontId="6" fillId="2" borderId="4" applyAlignment="1" pivotButton="0" quotePrefix="0" xfId="1">
      <alignment horizontal="right"/>
    </xf>
    <xf numFmtId="0" fontId="6" fillId="2" borderId="3" applyAlignment="1" pivotButton="0" quotePrefix="0" xfId="0">
      <alignment horizontal="left" vertical="center"/>
    </xf>
    <xf numFmtId="38" fontId="8" fillId="6" borderId="4" applyAlignment="1" pivotButton="0" quotePrefix="0" xfId="2">
      <alignment horizontal="right"/>
    </xf>
    <xf numFmtId="38" fontId="6" fillId="2" borderId="4" applyAlignment="1" pivotButton="0" quotePrefix="0" xfId="1">
      <alignment horizontal="right"/>
    </xf>
    <xf numFmtId="164" fontId="6" fillId="4" borderId="4" applyAlignment="1" pivotButton="0" quotePrefix="0" xfId="1">
      <alignment horizontal="right" vertical="center"/>
    </xf>
    <xf numFmtId="164" fontId="6" fillId="2" borderId="4" applyAlignment="1" pivotButton="0" quotePrefix="0" xfId="1">
      <alignment horizontal="right" vertical="center"/>
    </xf>
    <xf numFmtId="38" fontId="6" fillId="2" borderId="4" applyAlignment="1" pivotButton="0" quotePrefix="0" xfId="1">
      <alignment horizontal="right" vertical="center"/>
    </xf>
    <xf numFmtId="0" fontId="6" fillId="4" borderId="3" applyAlignment="1" pivotButton="0" quotePrefix="0" xfId="0">
      <alignment horizontal="left"/>
    </xf>
    <xf numFmtId="0" fontId="6" fillId="4" borderId="5" applyAlignment="1" pivotButton="0" quotePrefix="0" xfId="0">
      <alignment horizontal="left"/>
    </xf>
    <xf numFmtId="164" fontId="6" fillId="4" borderId="6" applyAlignment="1" pivotButton="0" quotePrefix="0" xfId="1">
      <alignment horizontal="right"/>
    </xf>
    <xf numFmtId="164" fontId="6" fillId="2" borderId="6" applyAlignment="1" pivotButton="0" quotePrefix="0" xfId="1">
      <alignment horizontal="right"/>
    </xf>
    <xf numFmtId="38" fontId="9" fillId="0" borderId="0" applyAlignment="1" pivotButton="0" quotePrefix="0" xfId="0">
      <alignment horizontal="right"/>
    </xf>
    <xf numFmtId="38" fontId="6" fillId="0" borderId="0" pivotButton="0" quotePrefix="0" xfId="0"/>
    <xf numFmtId="0" fontId="10" fillId="7" borderId="0" pivotButton="0" quotePrefix="0" xfId="5"/>
    <xf numFmtId="0" fontId="10" fillId="0" borderId="0" pivotButton="0" quotePrefix="0" xfId="5"/>
    <xf numFmtId="0" fontId="10" fillId="7" borderId="7" pivotButton="0" quotePrefix="0" xfId="5"/>
    <xf numFmtId="0" fontId="8" fillId="2" borderId="0" pivotButton="0" quotePrefix="0" xfId="2"/>
    <xf numFmtId="3" fontId="6" fillId="0" borderId="0" pivotButton="0" quotePrefix="0" xfId="0"/>
    <xf numFmtId="0" fontId="11" fillId="2" borderId="0" pivotButton="0" quotePrefix="0" xfId="4"/>
    <xf numFmtId="0" fontId="7" fillId="2" borderId="0" pivotButton="0" quotePrefix="0" xfId="3"/>
    <xf numFmtId="0" fontId="0" fillId="2" borderId="0" pivotButton="0" quotePrefix="0" xfId="0"/>
    <xf numFmtId="164" fontId="6" fillId="4" borderId="2" applyAlignment="1" pivotButton="0" quotePrefix="0" xfId="1">
      <alignment horizontal="right"/>
    </xf>
    <xf numFmtId="164" fontId="6" fillId="2" borderId="2" applyAlignment="1" pivotButton="0" quotePrefix="0" xfId="1">
      <alignment horizontal="right"/>
    </xf>
    <xf numFmtId="164" fontId="6" fillId="4" borderId="4" applyAlignment="1" pivotButton="0" quotePrefix="0" xfId="1">
      <alignment horizontal="right"/>
    </xf>
    <xf numFmtId="164" fontId="6" fillId="2" borderId="4" applyAlignment="1" pivotButton="0" quotePrefix="0" xfId="1">
      <alignment horizontal="right"/>
    </xf>
    <xf numFmtId="164" fontId="6" fillId="4" borderId="4" applyAlignment="1" pivotButton="0" quotePrefix="0" xfId="1">
      <alignment horizontal="right" vertical="center"/>
    </xf>
    <xf numFmtId="164" fontId="6" fillId="2" borderId="4" applyAlignment="1" pivotButton="0" quotePrefix="0" xfId="1">
      <alignment horizontal="right" vertical="center"/>
    </xf>
    <xf numFmtId="164" fontId="6" fillId="4" borderId="6" applyAlignment="1" pivotButton="0" quotePrefix="0" xfId="1">
      <alignment horizontal="right"/>
    </xf>
    <xf numFmtId="164" fontId="6" fillId="2" borderId="6" applyAlignment="1" pivotButton="0" quotePrefix="0" xfId="1">
      <alignment horizontal="right"/>
    </xf>
  </cellXfs>
  <cellStyles count="6">
    <cellStyle name="常规" xfId="0" builtinId="0"/>
    <cellStyle name="千位分隔" xfId="1" builtinId="3"/>
    <cellStyle name="好" xfId="2" builtinId="26"/>
    <cellStyle name="差" xfId="3" builtinId="27"/>
    <cellStyle name="适中" xfId="4" builtinId="28"/>
    <cellStyle name="Normal 2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https:/d.docs.live.net/DOCUME~1/user/LOCALS~1/Temp/Temporary%20Directory%201%20for%20HMRS_Sale1.zip/hotel_ms%20MARKET%20SHARE-%20HMRS06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fo"/>
      <sheetName val="Input Section"/>
      <sheetName val="Processing"/>
      <sheetName val="MS Repor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4"/>
  <sheetViews>
    <sheetView showGridLines="0" tabSelected="1" workbookViewId="0">
      <selection activeCell="K10" sqref="K10"/>
    </sheetView>
  </sheetViews>
  <sheetFormatPr baseColWidth="10" defaultColWidth="11" defaultRowHeight="16" outlineLevelCol="0"/>
  <cols>
    <col width="33.1640625" customWidth="1" min="2" max="2"/>
    <col width="17.6640625" customWidth="1" min="3" max="3"/>
    <col width="16" customWidth="1" min="4" max="4"/>
    <col width="34" customWidth="1" min="6" max="6"/>
    <col width="18.83203125" customWidth="1" min="7" max="7"/>
    <col width="22" customWidth="1" min="10" max="10"/>
    <col width="15.5" customWidth="1" min="11" max="11"/>
  </cols>
  <sheetData>
    <row r="1" ht="23" customHeight="1">
      <c r="A1" s="1" t="inlineStr">
        <is>
          <t>INPUT IN YELLOW CELLS</t>
        </is>
      </c>
      <c r="B1" s="1" t="n"/>
      <c r="C1" s="1" t="n"/>
      <c r="D1" s="2" t="n"/>
      <c r="E1" s="3" t="inlineStr">
        <is>
          <t>MAIN CHANNELS</t>
        </is>
      </c>
      <c r="F1" s="3" t="n"/>
    </row>
    <row r="2" ht="23" customHeight="1">
      <c r="A2" s="1" t="n"/>
      <c r="B2" s="4">
        <f>_xlfn.XLOOKUP(B3,B41:B49,C41:C49)</f>
        <v/>
      </c>
      <c r="C2" s="1" t="n"/>
      <c r="D2" s="2" t="n"/>
      <c r="E2" s="5" t="inlineStr">
        <is>
          <t>TOTAL</t>
        </is>
      </c>
      <c r="F2" s="6">
        <f>SUM(F4:F83)</f>
        <v/>
      </c>
    </row>
    <row r="3">
      <c r="A3" s="7" t="inlineStr">
        <is>
          <t>Country</t>
        </is>
      </c>
      <c r="B3" s="8" t="inlineStr">
        <is>
          <t>INR</t>
        </is>
      </c>
      <c r="C3" s="9" t="inlineStr">
        <is>
          <t>USD</t>
        </is>
      </c>
      <c r="D3" s="2" t="n"/>
      <c r="E3" s="7" t="inlineStr">
        <is>
          <t>Countries</t>
        </is>
      </c>
      <c r="F3" s="7" t="inlineStr">
        <is>
          <t>Revenue</t>
        </is>
      </c>
    </row>
    <row r="4">
      <c r="A4" s="10" t="inlineStr">
        <is>
          <t>India</t>
        </is>
      </c>
      <c r="B4" s="39" t="n">
        <v>236681.49</v>
      </c>
      <c r="C4" s="40">
        <f>IF(B4="","",IFERROR(B4/$B$2,0))</f>
        <v/>
      </c>
      <c r="D4" s="13" t="n">
        <v>1</v>
      </c>
      <c r="E4" s="14" t="inlineStr">
        <is>
          <t>Afghanistan</t>
        </is>
      </c>
      <c r="F4" s="15">
        <f t="array" ref="F4">SUMPRODUCT(ISNUMBER(SEARCH(E4,$A$4:$A$36))*$C$4:$C$36)</f>
        <v/>
      </c>
      <c r="H4" s="34" t="inlineStr">
        <is>
          <t>TOP 1</t>
        </is>
      </c>
      <c r="I4" s="7">
        <f t="array" ref="I4:J244">_xlfn.SORTBY(E4:F244,F4:F244,-1)</f>
        <v/>
      </c>
      <c r="J4" s="35" t="e">
        <v>#VALUE!</v>
      </c>
    </row>
    <row r="5">
      <c r="A5" s="16" t="inlineStr">
        <is>
          <t>United Kingdom</t>
        </is>
      </c>
      <c r="B5" s="41" t="n">
        <v>5489.16</v>
      </c>
      <c r="C5" s="42">
        <f>IF(B5="","",IFERROR(B5/$B$2,0))</f>
        <v/>
      </c>
      <c r="D5" s="13">
        <f>D4+1</f>
        <v/>
      </c>
      <c r="E5" s="19" t="inlineStr">
        <is>
          <t>Albania</t>
        </is>
      </c>
      <c r="F5" s="20">
        <f t="array" ref="F5">SUMPRODUCT(ISNUMBER(SEARCH(E5,$A$4:$A$36))*$B$4:$B$36)</f>
        <v/>
      </c>
      <c r="H5" s="34" t="inlineStr">
        <is>
          <t>TOP 2</t>
        </is>
      </c>
      <c r="I5" s="7" t="inlineStr">
        <is>
          <t>India</t>
        </is>
      </c>
      <c r="J5" s="35" t="n">
        <v>236681.49</v>
      </c>
    </row>
    <row r="6">
      <c r="A6" s="16" t="n"/>
      <c r="B6" s="41" t="n"/>
      <c r="C6" s="42">
        <f>IF(B6="","",IFERROR(B6/$B$2,0))</f>
        <v/>
      </c>
      <c r="D6" s="13">
        <f>D5+1</f>
        <v/>
      </c>
      <c r="E6" s="19" t="inlineStr">
        <is>
          <t>Algeria</t>
        </is>
      </c>
      <c r="F6" s="21">
        <f t="array" ref="F6">SUMPRODUCT(ISNUMBER(SEARCH(E6,$A$4:$A$36))*$B$4:$B$36)</f>
        <v/>
      </c>
      <c r="H6" s="34" t="inlineStr">
        <is>
          <t>TOP 3</t>
        </is>
      </c>
      <c r="I6" s="7" t="inlineStr">
        <is>
          <t>United Kingdom</t>
        </is>
      </c>
      <c r="J6" s="35" t="n">
        <v>5489.16</v>
      </c>
    </row>
    <row r="7">
      <c r="A7" s="16" t="n"/>
      <c r="B7" s="41" t="n"/>
      <c r="C7" s="42">
        <f>IF(B7="","",IFERROR(B7/$B$2,0))</f>
        <v/>
      </c>
      <c r="D7" s="13">
        <f>D6+1</f>
        <v/>
      </c>
      <c r="E7" s="19" t="inlineStr">
        <is>
          <t>American Samoa</t>
        </is>
      </c>
      <c r="F7" s="21">
        <f t="array" ref="F7">SUMPRODUCT(ISNUMBER(SEARCH(E7,$A$4:$A$36))*$B$4:$B$36)</f>
        <v/>
      </c>
      <c r="H7" s="34" t="inlineStr">
        <is>
          <t>TOP 4</t>
        </is>
      </c>
      <c r="I7" s="7" t="inlineStr">
        <is>
          <t>Albania</t>
        </is>
      </c>
      <c r="J7" s="35" t="n">
        <v>0</v>
      </c>
    </row>
    <row r="8">
      <c r="A8" s="16" t="n"/>
      <c r="B8" s="41" t="n"/>
      <c r="C8" s="42">
        <f>IF(B8="","",IFERROR(B8/$B$2,0))</f>
        <v/>
      </c>
      <c r="D8" s="13">
        <f>D7+1</f>
        <v/>
      </c>
      <c r="E8" s="19" t="inlineStr">
        <is>
          <t>Andorra</t>
        </is>
      </c>
      <c r="F8" s="21">
        <f t="array" ref="F8">SUMPRODUCT(ISNUMBER(SEARCH(E8,$A$4:$A$36))*$B$4:$B$36)</f>
        <v/>
      </c>
      <c r="H8" s="34" t="inlineStr">
        <is>
          <t>TOP 5</t>
        </is>
      </c>
      <c r="I8" s="7" t="inlineStr">
        <is>
          <t>Algeria</t>
        </is>
      </c>
      <c r="J8" s="35" t="n">
        <v>0</v>
      </c>
    </row>
    <row r="9">
      <c r="A9" s="16" t="n"/>
      <c r="B9" s="41" t="n"/>
      <c r="C9" s="42">
        <f>IF(B9="","",IFERROR(B9/$B$2,0))</f>
        <v/>
      </c>
      <c r="D9" s="13">
        <f>D8+1</f>
        <v/>
      </c>
      <c r="E9" s="19" t="inlineStr">
        <is>
          <t>Angola</t>
        </is>
      </c>
      <c r="F9" s="21">
        <f t="array" ref="F9">SUMPRODUCT(ISNUMBER(SEARCH(E9,$A$4:$A$36))*$B$4:$B$36)</f>
        <v/>
      </c>
      <c r="H9" s="36" t="inlineStr">
        <is>
          <t>TOP 6</t>
        </is>
      </c>
      <c r="I9" s="7" t="inlineStr">
        <is>
          <t>American Samoa</t>
        </is>
      </c>
      <c r="J9" s="35" t="n">
        <v>0</v>
      </c>
    </row>
    <row r="10">
      <c r="A10" s="16" t="n"/>
      <c r="B10" s="43" t="n"/>
      <c r="C10" s="44">
        <f>IF(B10="","",IFERROR(B10/$B$2,0))</f>
        <v/>
      </c>
      <c r="D10" s="13">
        <f>D9+1</f>
        <v/>
      </c>
      <c r="E10" s="19" t="inlineStr">
        <is>
          <t>Anguilla</t>
        </is>
      </c>
      <c r="F10" s="24">
        <f t="array" ref="F10">SUMPRODUCT(ISNUMBER(SEARCH(E10,$A$4:$A$36))*$B$4:$B$36)</f>
        <v/>
      </c>
      <c r="H10" s="36" t="inlineStr">
        <is>
          <t>TOP 7</t>
        </is>
      </c>
      <c r="I10" s="7" t="inlineStr">
        <is>
          <t>Andorra</t>
        </is>
      </c>
      <c r="J10" s="35" t="n">
        <v>0</v>
      </c>
    </row>
    <row r="11">
      <c r="A11" s="16" t="n"/>
      <c r="B11" s="43" t="n"/>
      <c r="C11" s="44">
        <f>IF(B11="","",IFERROR(B11/$B$2,0))</f>
        <v/>
      </c>
      <c r="D11" s="13">
        <f>D10+1</f>
        <v/>
      </c>
      <c r="E11" s="19" t="inlineStr">
        <is>
          <t>Antarctica</t>
        </is>
      </c>
      <c r="F11" s="24">
        <f t="array" ref="F11">SUMPRODUCT(ISNUMBER(SEARCH(E11,$A$4:$A$36))*$B$4:$B$36)</f>
        <v/>
      </c>
      <c r="H11" s="36" t="inlineStr">
        <is>
          <t>TOP 8</t>
        </is>
      </c>
      <c r="I11" s="7" t="inlineStr">
        <is>
          <t>Angola</t>
        </is>
      </c>
      <c r="J11" s="35" t="n">
        <v>0</v>
      </c>
    </row>
    <row r="12">
      <c r="A12" s="16" t="n"/>
      <c r="B12" s="43" t="n"/>
      <c r="C12" s="44">
        <f>IF(B12="","",IFERROR(B12/$B$2,0))</f>
        <v/>
      </c>
      <c r="D12" s="13">
        <f>D11+1</f>
        <v/>
      </c>
      <c r="E12" s="19" t="inlineStr">
        <is>
          <t>Antigua And Barbuda</t>
        </is>
      </c>
      <c r="F12" s="24">
        <f t="array" ref="F12">SUMPRODUCT(ISNUMBER(SEARCH(E12,$A$4:$A$36))*$B$4:$B$36)</f>
        <v/>
      </c>
      <c r="H12" s="36" t="inlineStr">
        <is>
          <t>TOP 9</t>
        </is>
      </c>
      <c r="I12" s="7" t="inlineStr">
        <is>
          <t>Anguilla</t>
        </is>
      </c>
      <c r="J12" s="35" t="n">
        <v>0</v>
      </c>
    </row>
    <row r="13">
      <c r="A13" s="16" t="n"/>
      <c r="B13" s="41" t="n"/>
      <c r="C13" s="42">
        <f>IF(B13="","",IFERROR(B13/$B$2,0))</f>
        <v/>
      </c>
      <c r="D13" s="13">
        <f>D12+1</f>
        <v/>
      </c>
      <c r="E13" s="19" t="inlineStr">
        <is>
          <t>Argentina</t>
        </is>
      </c>
      <c r="F13" s="21">
        <f t="array" ref="F13">SUMPRODUCT(ISNUMBER(SEARCH(E13,$A$4:$A$36))*$B$4:$B$36)</f>
        <v/>
      </c>
      <c r="H13" s="36" t="inlineStr">
        <is>
          <t>TOP 10</t>
        </is>
      </c>
      <c r="I13" s="7" t="inlineStr">
        <is>
          <t>Antarctica</t>
        </is>
      </c>
      <c r="J13" s="35" t="n">
        <v>0</v>
      </c>
    </row>
    <row r="14">
      <c r="A14" s="16" t="n"/>
      <c r="B14" s="41" t="n"/>
      <c r="C14" s="42">
        <f>IF(B14="","",IFERROR(B14/$B$2,0))</f>
        <v/>
      </c>
      <c r="D14" s="13">
        <f>D13+1</f>
        <v/>
      </c>
      <c r="E14" s="19" t="inlineStr">
        <is>
          <t>Armenia</t>
        </is>
      </c>
      <c r="F14" s="21">
        <f t="array" ref="F14">SUMPRODUCT(ISNUMBER(SEARCH(E14,$A$4:$A$36))*$B$4:$B$36)</f>
        <v/>
      </c>
      <c r="H14" s="37" t="inlineStr">
        <is>
          <t>TOP 11</t>
        </is>
      </c>
      <c r="I14" s="7" t="inlineStr">
        <is>
          <t>Antigua And Barbuda</t>
        </is>
      </c>
      <c r="J14" s="35" t="n">
        <v>0</v>
      </c>
    </row>
    <row r="15">
      <c r="A15" s="16" t="n"/>
      <c r="B15" s="41" t="n"/>
      <c r="C15" s="42">
        <f>IF(B15="","",IFERROR(B15/$B$2,0))</f>
        <v/>
      </c>
      <c r="D15" s="13">
        <f>D14+1</f>
        <v/>
      </c>
      <c r="E15" s="19" t="inlineStr">
        <is>
          <t>Aruba</t>
        </is>
      </c>
      <c r="F15" s="21">
        <f t="array" ref="F15">SUMPRODUCT(ISNUMBER(SEARCH(E15,$A$4:$A$36))*$B$4:$B$36)</f>
        <v/>
      </c>
      <c r="H15" s="37" t="inlineStr">
        <is>
          <t>TOP 12</t>
        </is>
      </c>
      <c r="I15" s="7" t="inlineStr">
        <is>
          <t>Argentina</t>
        </is>
      </c>
      <c r="J15" s="35" t="n">
        <v>0</v>
      </c>
    </row>
    <row r="16">
      <c r="A16" s="16" t="n"/>
      <c r="B16" s="41" t="n"/>
      <c r="C16" s="42">
        <f>IF(B16="","",IFERROR(B16/$B$2,0))</f>
        <v/>
      </c>
      <c r="D16" s="13">
        <f>D15+1</f>
        <v/>
      </c>
      <c r="E16" s="19" t="inlineStr">
        <is>
          <t>Australia</t>
        </is>
      </c>
      <c r="F16" s="21">
        <f t="array" ref="F16">SUMPRODUCT(ISNUMBER(SEARCH(E16,$A$4:$A$36))*$B$4:$B$36)</f>
        <v/>
      </c>
      <c r="H16" s="37" t="inlineStr">
        <is>
          <t>TOP 13</t>
        </is>
      </c>
      <c r="I16" s="7" t="inlineStr">
        <is>
          <t>Armenia</t>
        </is>
      </c>
      <c r="J16" s="35" t="n">
        <v>0</v>
      </c>
    </row>
    <row r="17">
      <c r="A17" s="16" t="n"/>
      <c r="B17" s="41" t="n"/>
      <c r="C17" s="42">
        <f>IF(B17="","",IFERROR(B17/$B$2,0))</f>
        <v/>
      </c>
      <c r="D17" s="13">
        <f>D16+1</f>
        <v/>
      </c>
      <c r="E17" s="19" t="inlineStr">
        <is>
          <t>Austria</t>
        </is>
      </c>
      <c r="F17" s="21">
        <f t="array" ref="F17">SUMPRODUCT(ISNUMBER(SEARCH(E17,$A$4:$A$36))*$B$4:$B$36)</f>
        <v/>
      </c>
      <c r="H17" s="37" t="inlineStr">
        <is>
          <t>TOP 14</t>
        </is>
      </c>
      <c r="I17" s="7" t="inlineStr">
        <is>
          <t>Aruba</t>
        </is>
      </c>
      <c r="J17" s="35" t="n">
        <v>0</v>
      </c>
    </row>
    <row r="18">
      <c r="A18" s="16" t="n"/>
      <c r="B18" s="41" t="n"/>
      <c r="C18" s="42">
        <f>IF(B18="","",IFERROR(B18/$B$2,0))</f>
        <v/>
      </c>
      <c r="D18" s="13">
        <f>D17+1</f>
        <v/>
      </c>
      <c r="E18" s="19" t="inlineStr">
        <is>
          <t>Azerbaijan</t>
        </is>
      </c>
      <c r="F18" s="21">
        <f t="array" ref="F18">SUMPRODUCT(ISNUMBER(SEARCH(E18,$A$4:$A$36))*$B$4:$B$36)</f>
        <v/>
      </c>
      <c r="H18" s="37" t="inlineStr">
        <is>
          <t>TOP 15</t>
        </is>
      </c>
      <c r="I18" s="7" t="inlineStr">
        <is>
          <t>Australia</t>
        </is>
      </c>
      <c r="J18" s="35" t="n">
        <v>0</v>
      </c>
    </row>
    <row r="19">
      <c r="A19" s="25" t="n"/>
      <c r="B19" s="41" t="n"/>
      <c r="C19" s="42">
        <f>IF(B19="","",IFERROR(B19/$B$2,0))</f>
        <v/>
      </c>
      <c r="D19" s="13">
        <f>D18+1</f>
        <v/>
      </c>
      <c r="E19" s="19" t="inlineStr">
        <is>
          <t>Bahamas</t>
        </is>
      </c>
      <c r="F19" s="21">
        <f t="array" ref="F19">SUMPRODUCT(ISNUMBER(SEARCH(E19,$A$4:$A$36))*$B$4:$B$36)</f>
        <v/>
      </c>
      <c r="H19" s="38" t="n"/>
      <c r="I19" s="7" t="inlineStr">
        <is>
          <t>Austria</t>
        </is>
      </c>
      <c r="J19" s="35" t="n">
        <v>0</v>
      </c>
    </row>
    <row r="20">
      <c r="A20" s="25" t="n"/>
      <c r="B20" s="41" t="n"/>
      <c r="C20" s="42">
        <f>IF(B20="","",IFERROR(B20/$B$2,0))</f>
        <v/>
      </c>
      <c r="D20" s="13">
        <f>D19+1</f>
        <v/>
      </c>
      <c r="E20" s="19" t="inlineStr">
        <is>
          <t>Bahrain</t>
        </is>
      </c>
      <c r="F20" s="21">
        <f t="array" ref="F20">SUMPRODUCT(ISNUMBER(SEARCH(E20,$A$4:$A$36))*$B$4:$B$36)</f>
        <v/>
      </c>
      <c r="I20" s="7" t="inlineStr">
        <is>
          <t>Azerbaijan</t>
        </is>
      </c>
      <c r="J20" s="35" t="n">
        <v>0</v>
      </c>
    </row>
    <row r="21">
      <c r="A21" s="25" t="n"/>
      <c r="B21" s="41" t="n"/>
      <c r="C21" s="42">
        <f>IF(B21="","",IFERROR(B21/$B$2,0))</f>
        <v/>
      </c>
      <c r="D21" s="13">
        <f>D20+1</f>
        <v/>
      </c>
      <c r="E21" s="19" t="inlineStr">
        <is>
          <t>Bangladesh</t>
        </is>
      </c>
      <c r="F21" s="21">
        <f t="array" ref="F21">SUMPRODUCT(ISNUMBER(SEARCH(E21,$A$4:$A$36))*$B$4:$B$36)</f>
        <v/>
      </c>
      <c r="I21" s="7" t="inlineStr">
        <is>
          <t>Bahamas</t>
        </is>
      </c>
      <c r="J21" s="35" t="n">
        <v>0</v>
      </c>
    </row>
    <row r="22">
      <c r="A22" s="25" t="n"/>
      <c r="B22" s="41" t="n"/>
      <c r="C22" s="42">
        <f>IF(B22="","",IFERROR(B22/$B$2,0))</f>
        <v/>
      </c>
      <c r="D22" s="13">
        <f>D21+1</f>
        <v/>
      </c>
      <c r="E22" s="19" t="inlineStr">
        <is>
          <t>Barbados</t>
        </is>
      </c>
      <c r="F22" s="21">
        <f t="array" ref="F22">SUMPRODUCT(ISNUMBER(SEARCH(E22,$A$4:$A$36))*$B$4:$B$36)</f>
        <v/>
      </c>
      <c r="I22" s="7" t="inlineStr">
        <is>
          <t>Bahrain</t>
        </is>
      </c>
      <c r="J22" s="35" t="n">
        <v>0</v>
      </c>
    </row>
    <row r="23">
      <c r="A23" s="25" t="n"/>
      <c r="B23" s="41" t="n"/>
      <c r="C23" s="42">
        <f>IF(B23="","",IFERROR(B23/$B$2,0))</f>
        <v/>
      </c>
      <c r="D23" s="13">
        <f>D22+1</f>
        <v/>
      </c>
      <c r="E23" s="19" t="inlineStr">
        <is>
          <t>Belarus</t>
        </is>
      </c>
      <c r="F23" s="21">
        <f t="array" ref="F23">SUMPRODUCT(ISNUMBER(SEARCH(E23,$A$4:$A$36))*$B$4:$B$36)</f>
        <v/>
      </c>
      <c r="I23" s="7" t="inlineStr">
        <is>
          <t>Bangladesh</t>
        </is>
      </c>
      <c r="J23" s="35" t="n">
        <v>0</v>
      </c>
    </row>
    <row r="24">
      <c r="A24" s="25" t="n"/>
      <c r="B24" s="41" t="n"/>
      <c r="C24" s="42">
        <f>IF(B24="","",IFERROR(B24/$B$2,0))</f>
        <v/>
      </c>
      <c r="D24" s="13">
        <f>D23+1</f>
        <v/>
      </c>
      <c r="E24" s="19" t="inlineStr">
        <is>
          <t>Belgium</t>
        </is>
      </c>
      <c r="F24" s="21">
        <f t="array" ref="F24">SUMPRODUCT(ISNUMBER(SEARCH(E24,$A$4:$A$36))*$B$4:$B$36)</f>
        <v/>
      </c>
      <c r="I24" s="7" t="inlineStr">
        <is>
          <t>Barbados</t>
        </is>
      </c>
      <c r="J24" s="35" t="n">
        <v>0</v>
      </c>
    </row>
    <row r="25">
      <c r="A25" s="25" t="n"/>
      <c r="B25" s="41" t="n"/>
      <c r="C25" s="42">
        <f>IF(B25="","",IFERROR(B25/$B$2,0))</f>
        <v/>
      </c>
      <c r="D25" s="13">
        <f>D24+1</f>
        <v/>
      </c>
      <c r="E25" s="19" t="inlineStr">
        <is>
          <t>Belize</t>
        </is>
      </c>
      <c r="F25" s="21">
        <f t="array" ref="F25">SUMPRODUCT(ISNUMBER(SEARCH(E25,$A$4:$A$36))*$B$4:$B$36)</f>
        <v/>
      </c>
      <c r="I25" s="7" t="inlineStr">
        <is>
          <t>Belarus</t>
        </is>
      </c>
      <c r="J25" s="35" t="n">
        <v>0</v>
      </c>
    </row>
    <row r="26">
      <c r="A26" s="25" t="n"/>
      <c r="B26" s="41" t="n"/>
      <c r="C26" s="42">
        <f>IF(B26="","",IFERROR(B26/$B$2,0))</f>
        <v/>
      </c>
      <c r="D26" s="13">
        <f>D25+1</f>
        <v/>
      </c>
      <c r="E26" s="19" t="inlineStr">
        <is>
          <t>Benin</t>
        </is>
      </c>
      <c r="F26" s="21">
        <f t="array" ref="F26">SUMPRODUCT(ISNUMBER(SEARCH(E26,$A$4:$A$36))*$B$4:$B$36)</f>
        <v/>
      </c>
      <c r="I26" s="7" t="inlineStr">
        <is>
          <t>Belgium</t>
        </is>
      </c>
      <c r="J26" s="35" t="n">
        <v>0</v>
      </c>
    </row>
    <row r="27">
      <c r="A27" s="25" t="n"/>
      <c r="B27" s="41" t="n"/>
      <c r="C27" s="42">
        <f>IF(B27="","",IFERROR(B27/$B$2,0))</f>
        <v/>
      </c>
      <c r="D27" s="13">
        <f>D26+1</f>
        <v/>
      </c>
      <c r="E27" s="19" t="inlineStr">
        <is>
          <t>Bermuda</t>
        </is>
      </c>
      <c r="F27" s="21">
        <f t="array" ref="F27">SUMPRODUCT(ISNUMBER(SEARCH(E27,$A$4:$A$36))*$B$4:$B$36)</f>
        <v/>
      </c>
      <c r="I27" s="7" t="inlineStr">
        <is>
          <t>Belize</t>
        </is>
      </c>
      <c r="J27" s="35" t="n">
        <v>0</v>
      </c>
    </row>
    <row r="28">
      <c r="A28" s="25" t="n"/>
      <c r="B28" s="41" t="n"/>
      <c r="C28" s="42">
        <f>IF(B28="","",IFERROR(B28/$B$2,0))</f>
        <v/>
      </c>
      <c r="D28" s="13">
        <f>D27+1</f>
        <v/>
      </c>
      <c r="E28" s="19" t="inlineStr">
        <is>
          <t>Bhutan</t>
        </is>
      </c>
      <c r="F28" s="21">
        <f t="array" ref="F28">SUMPRODUCT(ISNUMBER(SEARCH(E28,$A$4:$A$36))*$B$4:$B$36)</f>
        <v/>
      </c>
      <c r="I28" s="7" t="inlineStr">
        <is>
          <t>Benin</t>
        </is>
      </c>
      <c r="J28" s="35" t="n">
        <v>0</v>
      </c>
    </row>
    <row r="29">
      <c r="A29" s="25" t="n"/>
      <c r="B29" s="41" t="n"/>
      <c r="C29" s="42">
        <f>IF(B29="","",IFERROR(B29/$B$2,0))</f>
        <v/>
      </c>
      <c r="D29" s="13">
        <f>D28+1</f>
        <v/>
      </c>
      <c r="E29" s="19" t="inlineStr">
        <is>
          <t>Bolivia</t>
        </is>
      </c>
      <c r="F29" s="21">
        <f t="array" ref="F29">SUMPRODUCT(ISNUMBER(SEARCH(E29,$A$4:$A$36))*$B$4:$B$36)</f>
        <v/>
      </c>
      <c r="I29" s="7" t="inlineStr">
        <is>
          <t>Bermuda</t>
        </is>
      </c>
      <c r="J29" s="35" t="n">
        <v>0</v>
      </c>
    </row>
    <row r="30">
      <c r="A30" s="25" t="n"/>
      <c r="B30" s="41" t="n"/>
      <c r="C30" s="42">
        <f>IF(B30="","",IFERROR(B30/$B$2,0))</f>
        <v/>
      </c>
      <c r="D30" s="13">
        <f>D29+1</f>
        <v/>
      </c>
      <c r="E30" s="19" t="inlineStr">
        <is>
          <t>Bosnia And Herzegowina</t>
        </is>
      </c>
      <c r="F30" s="21">
        <f t="array" ref="F30">SUMPRODUCT(ISNUMBER(SEARCH(E30,$A$4:$A$36))*$B$4:$B$36)</f>
        <v/>
      </c>
      <c r="I30" s="7" t="inlineStr">
        <is>
          <t>Bhutan</t>
        </is>
      </c>
      <c r="J30" s="35" t="n">
        <v>0</v>
      </c>
    </row>
    <row r="31">
      <c r="A31" s="25" t="n"/>
      <c r="B31" s="41" t="n"/>
      <c r="C31" s="42">
        <f>IF(B31="","",IFERROR(B31/$B$2,0))</f>
        <v/>
      </c>
      <c r="D31" s="13">
        <f>D30+1</f>
        <v/>
      </c>
      <c r="E31" s="19" t="inlineStr">
        <is>
          <t>Botswana</t>
        </is>
      </c>
      <c r="F31" s="21">
        <f t="array" ref="F31">SUMPRODUCT(ISNUMBER(SEARCH(E31,$A$4:$A$36))*$B$4:$B$36)</f>
        <v/>
      </c>
      <c r="I31" s="7" t="inlineStr">
        <is>
          <t>Bolivia</t>
        </is>
      </c>
      <c r="J31" s="35" t="n">
        <v>0</v>
      </c>
    </row>
    <row r="32">
      <c r="A32" s="25" t="n"/>
      <c r="B32" s="41" t="n"/>
      <c r="C32" s="42">
        <f>IF(B32="","",IFERROR(B32/$B$2,0))</f>
        <v/>
      </c>
      <c r="D32" s="13">
        <f>D31+1</f>
        <v/>
      </c>
      <c r="E32" s="19" t="inlineStr">
        <is>
          <t>Bouvet Island</t>
        </is>
      </c>
      <c r="F32" s="21">
        <f t="array" ref="F32">SUMPRODUCT(ISNUMBER(SEARCH(E32,$A$4:$A$36))*$B$4:$B$36)</f>
        <v/>
      </c>
      <c r="I32" s="7" t="inlineStr">
        <is>
          <t>Bosnia And Herzegowina</t>
        </is>
      </c>
      <c r="J32" s="35" t="n">
        <v>0</v>
      </c>
    </row>
    <row r="33">
      <c r="A33" s="25" t="n"/>
      <c r="B33" s="41" t="n"/>
      <c r="C33" s="42">
        <f>IF(B33="","",IFERROR(B33/$B$2,0))</f>
        <v/>
      </c>
      <c r="D33" s="13">
        <f>D32+1</f>
        <v/>
      </c>
      <c r="E33" s="19" t="inlineStr">
        <is>
          <t>Brazil</t>
        </is>
      </c>
      <c r="F33" s="21">
        <f t="array" ref="F33">SUMPRODUCT(ISNUMBER(SEARCH(E33,$A$4:$A$36))*$B$4:$B$36)</f>
        <v/>
      </c>
      <c r="I33" s="7" t="inlineStr">
        <is>
          <t>Botswana</t>
        </is>
      </c>
      <c r="J33" s="35" t="n">
        <v>0</v>
      </c>
    </row>
    <row r="34">
      <c r="A34" s="25" t="n"/>
      <c r="B34" s="41" t="n"/>
      <c r="C34" s="42">
        <f>IF(B34="","",IFERROR(B34/$B$2,0))</f>
        <v/>
      </c>
      <c r="D34" s="13">
        <f>D33+1</f>
        <v/>
      </c>
      <c r="E34" s="19" t="inlineStr">
        <is>
          <t>British Indian Ocean Territory</t>
        </is>
      </c>
      <c r="F34" s="21">
        <f t="array" ref="F34">SUMPRODUCT(ISNUMBER(SEARCH(E34,$A$4:$A$36))*$B$4:$B$36)</f>
        <v/>
      </c>
      <c r="I34" s="7" t="inlineStr">
        <is>
          <t>Bouvet Island</t>
        </is>
      </c>
      <c r="J34" s="35" t="n">
        <v>0</v>
      </c>
    </row>
    <row r="35">
      <c r="A35" s="25" t="n"/>
      <c r="B35" s="41" t="n"/>
      <c r="C35" s="42">
        <f>IF(B35="","",IFERROR(B35/$B$2,0))</f>
        <v/>
      </c>
      <c r="D35" s="13">
        <f>D34+1</f>
        <v/>
      </c>
      <c r="E35" s="19" t="inlineStr">
        <is>
          <t>Brunei Darussalam</t>
        </is>
      </c>
      <c r="F35" s="21">
        <f t="array" ref="F35">SUMPRODUCT(ISNUMBER(SEARCH(E35,$A$4:$A$36))*$B$4:$B$36)</f>
        <v/>
      </c>
      <c r="I35" s="7" t="inlineStr">
        <is>
          <t>Brazil</t>
        </is>
      </c>
      <c r="J35" s="35" t="n">
        <v>0</v>
      </c>
    </row>
    <row r="36">
      <c r="A36" s="26" t="n"/>
      <c r="B36" s="45" t="n"/>
      <c r="C36" s="46">
        <f>IF(B36="","",IFERROR(B36/$B$2,0))</f>
        <v/>
      </c>
      <c r="D36" s="13">
        <f>D35+1</f>
        <v/>
      </c>
      <c r="E36" s="19" t="inlineStr">
        <is>
          <t>Bulgaria</t>
        </is>
      </c>
      <c r="F36" s="21">
        <f t="array" ref="F36">SUMPRODUCT(ISNUMBER(SEARCH(E36,$A$4:$A$36))*$B$4:$B$36)</f>
        <v/>
      </c>
      <c r="I36" s="7" t="inlineStr">
        <is>
          <t>British Indian Ocean Territory</t>
        </is>
      </c>
      <c r="J36" s="35" t="n">
        <v>0</v>
      </c>
    </row>
    <row r="37">
      <c r="A37" s="7" t="n"/>
      <c r="B37" s="29">
        <f>SUM(B4:B36)</f>
        <v/>
      </c>
      <c r="C37" s="29">
        <f>SUM(C4:C36)</f>
        <v/>
      </c>
      <c r="D37" s="13">
        <f>D36+1</f>
        <v/>
      </c>
      <c r="E37" s="19" t="inlineStr">
        <is>
          <t>Burkina Faso</t>
        </is>
      </c>
      <c r="F37" s="21">
        <f t="array" ref="F37">SUMPRODUCT(ISNUMBER(SEARCH(E37,$A$4:$A$36))*$B$4:$B$36)</f>
        <v/>
      </c>
      <c r="I37" s="7" t="inlineStr">
        <is>
          <t>Brunei Darussalam</t>
        </is>
      </c>
      <c r="J37" s="35" t="n">
        <v>0</v>
      </c>
    </row>
    <row r="38">
      <c r="A38" s="7" t="n"/>
      <c r="B38" s="30">
        <f>B37-F24</f>
        <v/>
      </c>
      <c r="C38" s="30">
        <f>C37-G24</f>
        <v/>
      </c>
      <c r="D38" s="13">
        <f>D37+1</f>
        <v/>
      </c>
      <c r="E38" s="19" t="inlineStr">
        <is>
          <t>Burundi</t>
        </is>
      </c>
      <c r="F38" s="21">
        <f t="array" ref="F38">SUMPRODUCT(ISNUMBER(SEARCH(E38,$A$4:$A$36))*$B$4:$B$36)</f>
        <v/>
      </c>
      <c r="I38" s="7" t="inlineStr">
        <is>
          <t>Bulgaria</t>
        </is>
      </c>
      <c r="J38" s="35" t="n">
        <v>0</v>
      </c>
    </row>
    <row r="39">
      <c r="D39" s="13">
        <f>D38+1</f>
        <v/>
      </c>
      <c r="E39" s="19" t="inlineStr">
        <is>
          <t>Cambodia</t>
        </is>
      </c>
      <c r="F39" s="21">
        <f t="array" ref="F39">SUMPRODUCT(ISNUMBER(SEARCH(E39,$A$4:$A$36))*$B$4:$B$36)</f>
        <v/>
      </c>
      <c r="I39" s="7" t="inlineStr">
        <is>
          <t>Burkina Faso</t>
        </is>
      </c>
      <c r="J39" s="35" t="n">
        <v>0</v>
      </c>
    </row>
    <row r="40">
      <c r="D40" s="13">
        <f>D39+1</f>
        <v/>
      </c>
      <c r="E40" s="19" t="inlineStr">
        <is>
          <t>Cameroon</t>
        </is>
      </c>
      <c r="F40" s="21">
        <f t="array" ref="F40">SUMPRODUCT(ISNUMBER(SEARCH(E40,$A$4:$A$36))*$B$4:$B$36)</f>
        <v/>
      </c>
      <c r="I40" s="7" t="inlineStr">
        <is>
          <t>Burundi</t>
        </is>
      </c>
      <c r="J40" s="35" t="n">
        <v>0</v>
      </c>
    </row>
    <row r="41">
      <c r="A41" s="31" t="inlineStr">
        <is>
          <t>Thailand</t>
        </is>
      </c>
      <c r="B41" s="31" t="inlineStr">
        <is>
          <t>THB</t>
        </is>
      </c>
      <c r="C41" s="31" t="n">
        <v>33</v>
      </c>
      <c r="D41" s="13">
        <f>D40+1</f>
        <v/>
      </c>
      <c r="E41" s="19" t="inlineStr">
        <is>
          <t>Canada</t>
        </is>
      </c>
      <c r="F41" s="21">
        <f t="array" ref="F41">SUMPRODUCT(ISNUMBER(SEARCH(E41,$A$4:$A$36))*$B$4:$B$36)</f>
        <v/>
      </c>
      <c r="I41" s="7" t="inlineStr">
        <is>
          <t>Cambodia</t>
        </is>
      </c>
      <c r="J41" s="35" t="n">
        <v>0</v>
      </c>
    </row>
    <row r="42">
      <c r="A42" s="32" t="inlineStr">
        <is>
          <t>Vietnam</t>
        </is>
      </c>
      <c r="B42" s="32" t="inlineStr">
        <is>
          <t>VND</t>
        </is>
      </c>
      <c r="C42" s="32" t="n">
        <v>22000</v>
      </c>
      <c r="D42" s="13">
        <f>D41+1</f>
        <v/>
      </c>
      <c r="E42" s="19" t="inlineStr">
        <is>
          <t>Cape Verde</t>
        </is>
      </c>
      <c r="F42" s="21">
        <f t="array" ref="F42">SUMPRODUCT(ISNUMBER(SEARCH(E42,$A$4:$A$36))*$B$4:$B$36)</f>
        <v/>
      </c>
      <c r="I42" s="7" t="inlineStr">
        <is>
          <t>Cameroon</t>
        </is>
      </c>
      <c r="J42" s="35" t="n">
        <v>0</v>
      </c>
    </row>
    <row r="43">
      <c r="A43" s="31" t="inlineStr">
        <is>
          <t>India</t>
        </is>
      </c>
      <c r="B43" s="31" t="inlineStr">
        <is>
          <t>INR</t>
        </is>
      </c>
      <c r="C43" s="31" t="n">
        <v>70</v>
      </c>
      <c r="D43" s="13">
        <f>D42+1</f>
        <v/>
      </c>
      <c r="E43" s="19" t="inlineStr">
        <is>
          <t>Cayman Islands</t>
        </is>
      </c>
      <c r="F43" s="21">
        <f t="array" ref="F43">SUMPRODUCT(ISNUMBER(SEARCH(E43,$A$4:$A$36))*$B$4:$B$36)</f>
        <v/>
      </c>
      <c r="I43" s="7" t="inlineStr">
        <is>
          <t>Canada</t>
        </is>
      </c>
      <c r="J43" s="35" t="n">
        <v>0</v>
      </c>
    </row>
    <row r="44">
      <c r="A44" s="32" t="inlineStr">
        <is>
          <t>Indonesia</t>
        </is>
      </c>
      <c r="B44" s="32" t="inlineStr">
        <is>
          <t>IDR</t>
        </is>
      </c>
      <c r="C44" s="32" t="n">
        <v>13500</v>
      </c>
      <c r="D44" s="13">
        <f>D43+1</f>
        <v/>
      </c>
      <c r="E44" s="19" t="inlineStr">
        <is>
          <t>Central African Republic</t>
        </is>
      </c>
      <c r="F44" s="21">
        <f t="array" ref="F44">SUMPRODUCT(ISNUMBER(SEARCH(E44,$A$4:$A$36))*$B$4:$B$36)</f>
        <v/>
      </c>
      <c r="I44" s="7" t="inlineStr">
        <is>
          <t>Cape Verde</t>
        </is>
      </c>
      <c r="J44" s="35" t="n">
        <v>0</v>
      </c>
    </row>
    <row r="45">
      <c r="A45" s="31" t="inlineStr">
        <is>
          <t>Hong Kong</t>
        </is>
      </c>
      <c r="B45" s="31" t="inlineStr">
        <is>
          <t>USD</t>
        </is>
      </c>
      <c r="C45" s="31" t="n">
        <v>1</v>
      </c>
      <c r="D45" s="13">
        <f>D44+1</f>
        <v/>
      </c>
      <c r="E45" s="19" t="inlineStr">
        <is>
          <t>Chad</t>
        </is>
      </c>
      <c r="F45" s="21">
        <f t="array" ref="F45">SUMPRODUCT(ISNUMBER(SEARCH(E45,$A$4:$A$36))*$B$4:$B$36)</f>
        <v/>
      </c>
      <c r="I45" s="7" t="inlineStr">
        <is>
          <t>Cayman Islands</t>
        </is>
      </c>
      <c r="J45" s="35" t="n">
        <v>0</v>
      </c>
    </row>
    <row r="46">
      <c r="A46" s="32" t="inlineStr">
        <is>
          <t>Turkey</t>
        </is>
      </c>
      <c r="B46" s="32" t="inlineStr">
        <is>
          <t>USD</t>
        </is>
      </c>
      <c r="C46" s="32" t="n">
        <v>1</v>
      </c>
      <c r="D46" s="13">
        <f>D45+1</f>
        <v/>
      </c>
      <c r="E46" s="19" t="inlineStr">
        <is>
          <t>Chile</t>
        </is>
      </c>
      <c r="F46" s="21">
        <f t="array" ref="F46">SUMPRODUCT(ISNUMBER(SEARCH(E46,$A$4:$A$36))*$B$4:$B$36)</f>
        <v/>
      </c>
      <c r="I46" s="7" t="inlineStr">
        <is>
          <t>Central African Republic</t>
        </is>
      </c>
      <c r="J46" s="35" t="n">
        <v>0</v>
      </c>
    </row>
    <row r="47">
      <c r="A47" s="31" t="inlineStr">
        <is>
          <t>Russia</t>
        </is>
      </c>
      <c r="B47" s="31" t="inlineStr">
        <is>
          <t>USD</t>
        </is>
      </c>
      <c r="C47" s="31" t="n">
        <v>1</v>
      </c>
      <c r="D47" s="13">
        <f>D46+1</f>
        <v/>
      </c>
      <c r="E47" s="19" t="inlineStr">
        <is>
          <t>China</t>
        </is>
      </c>
      <c r="F47" s="21">
        <f t="array" ref="F47">SUMPRODUCT(ISNUMBER(SEARCH(E47,$A$4:$A$36))*$B$4:$B$36)</f>
        <v/>
      </c>
      <c r="I47" s="7" t="inlineStr">
        <is>
          <t>Chad</t>
        </is>
      </c>
      <c r="J47" s="35" t="n">
        <v>0</v>
      </c>
    </row>
    <row r="48">
      <c r="A48" s="32" t="inlineStr">
        <is>
          <t>Oman</t>
        </is>
      </c>
      <c r="B48" s="32" t="inlineStr">
        <is>
          <t>OMR</t>
        </is>
      </c>
      <c r="C48" s="32" t="n">
        <v>0.38</v>
      </c>
      <c r="D48" s="13">
        <f>D47+1</f>
        <v/>
      </c>
      <c r="E48" s="19" t="inlineStr">
        <is>
          <t>Christmas Island</t>
        </is>
      </c>
      <c r="F48" s="21">
        <f t="array" ref="F48">SUMPRODUCT(ISNUMBER(SEARCH(E48,$A$4:$A$36))*$B$4:$B$36)</f>
        <v/>
      </c>
      <c r="I48" s="7" t="inlineStr">
        <is>
          <t>Chile</t>
        </is>
      </c>
      <c r="J48" s="35" t="n">
        <v>0</v>
      </c>
    </row>
    <row r="49">
      <c r="A49" s="33" t="inlineStr">
        <is>
          <t>Laos</t>
        </is>
      </c>
      <c r="B49" s="33" t="inlineStr">
        <is>
          <t>KIP</t>
        </is>
      </c>
      <c r="C49" s="33" t="n">
        <v>15500</v>
      </c>
      <c r="D49" s="13">
        <f>D48+1</f>
        <v/>
      </c>
      <c r="E49" s="19" t="inlineStr">
        <is>
          <t>Cocos (Keeling) Islands</t>
        </is>
      </c>
      <c r="F49" s="21">
        <f t="array" ref="F49">SUMPRODUCT(ISNUMBER(SEARCH(E49,$A$4:$A$36))*$B$4:$B$36)</f>
        <v/>
      </c>
      <c r="I49" s="7" t="inlineStr">
        <is>
          <t>China</t>
        </is>
      </c>
      <c r="J49" s="35" t="n">
        <v>0</v>
      </c>
    </row>
    <row r="50">
      <c r="D50" s="13">
        <f>D49+1</f>
        <v/>
      </c>
      <c r="E50" s="19" t="inlineStr">
        <is>
          <t>Colombia</t>
        </is>
      </c>
      <c r="F50" s="21">
        <f t="array" ref="F50">SUMPRODUCT(ISNUMBER(SEARCH(E50,$A$4:$A$36))*$B$4:$B$36)</f>
        <v/>
      </c>
      <c r="I50" s="7" t="inlineStr">
        <is>
          <t>Christmas Island</t>
        </is>
      </c>
      <c r="J50" s="35" t="n">
        <v>0</v>
      </c>
    </row>
    <row r="51">
      <c r="D51" s="13">
        <f>D50+1</f>
        <v/>
      </c>
      <c r="E51" s="19" t="inlineStr">
        <is>
          <t>Comoros</t>
        </is>
      </c>
      <c r="F51" s="21">
        <f t="array" ref="F51">SUMPRODUCT(ISNUMBER(SEARCH(E51,$A$4:$A$36))*$B$4:$B$36)</f>
        <v/>
      </c>
      <c r="I51" s="7" t="inlineStr">
        <is>
          <t>Cocos (Keeling) Islands</t>
        </is>
      </c>
      <c r="J51" s="35" t="n">
        <v>0</v>
      </c>
    </row>
    <row r="52">
      <c r="D52" s="13">
        <f>D51+1</f>
        <v/>
      </c>
      <c r="E52" s="19" t="inlineStr">
        <is>
          <t>Congo</t>
        </is>
      </c>
      <c r="F52" s="21">
        <f t="array" ref="F52">SUMPRODUCT(ISNUMBER(SEARCH(E52,$A$4:$A$36))*$B$4:$B$36)</f>
        <v/>
      </c>
      <c r="I52" s="7" t="inlineStr">
        <is>
          <t>Colombia</t>
        </is>
      </c>
      <c r="J52" s="35" t="n">
        <v>0</v>
      </c>
    </row>
    <row r="53">
      <c r="D53" s="13">
        <f>D52+1</f>
        <v/>
      </c>
      <c r="E53" s="19" t="inlineStr">
        <is>
          <t>Congo, The Drc</t>
        </is>
      </c>
      <c r="F53" s="21">
        <f t="array" ref="F53">SUMPRODUCT(ISNUMBER(SEARCH(E53,$A$4:$A$36))*$B$4:$B$36)</f>
        <v/>
      </c>
      <c r="I53" s="7" t="inlineStr">
        <is>
          <t>Comoros</t>
        </is>
      </c>
      <c r="J53" s="35" t="n">
        <v>0</v>
      </c>
    </row>
    <row r="54">
      <c r="D54" s="13">
        <f>D53+1</f>
        <v/>
      </c>
      <c r="E54" s="19" t="inlineStr">
        <is>
          <t>Cook Islands</t>
        </is>
      </c>
      <c r="F54" s="21">
        <f t="array" ref="F54">SUMPRODUCT(ISNUMBER(SEARCH(E54,$A$4:$A$36))*$B$4:$B$36)</f>
        <v/>
      </c>
      <c r="I54" s="7" t="inlineStr">
        <is>
          <t>Congo</t>
        </is>
      </c>
      <c r="J54" s="35" t="n">
        <v>0</v>
      </c>
    </row>
    <row r="55">
      <c r="D55" s="13">
        <f>D54+1</f>
        <v/>
      </c>
      <c r="E55" s="19" t="inlineStr">
        <is>
          <t>Costa Rica</t>
        </is>
      </c>
      <c r="F55" s="21">
        <f t="array" ref="F55">SUMPRODUCT(ISNUMBER(SEARCH(E55,$A$4:$A$36))*$B$4:$B$36)</f>
        <v/>
      </c>
      <c r="I55" s="7" t="inlineStr">
        <is>
          <t>Congo, The Drc</t>
        </is>
      </c>
      <c r="J55" s="35" t="n">
        <v>0</v>
      </c>
    </row>
    <row r="56">
      <c r="D56" s="13">
        <f>D55+1</f>
        <v/>
      </c>
      <c r="E56" s="19" t="inlineStr">
        <is>
          <t>Cote D'Ivoire</t>
        </is>
      </c>
      <c r="F56" s="21">
        <f t="array" ref="F56">SUMPRODUCT(ISNUMBER(SEARCH(E56,$A$4:$A$36))*$B$4:$B$36)</f>
        <v/>
      </c>
      <c r="I56" s="7" t="inlineStr">
        <is>
          <t>Cook Islands</t>
        </is>
      </c>
      <c r="J56" s="35" t="n">
        <v>0</v>
      </c>
    </row>
    <row r="57">
      <c r="D57" s="13">
        <f>D56+1</f>
        <v/>
      </c>
      <c r="E57" s="19" t="inlineStr">
        <is>
          <t>Croatia (Local Name: Hrvatska)</t>
        </is>
      </c>
      <c r="F57" s="21">
        <f t="array" ref="F57">SUMPRODUCT(ISNUMBER(SEARCH(E57,$A$4:$A$36))*$B$4:$B$36)</f>
        <v/>
      </c>
      <c r="I57" s="7" t="inlineStr">
        <is>
          <t>Costa Rica</t>
        </is>
      </c>
      <c r="J57" s="35" t="n">
        <v>0</v>
      </c>
    </row>
    <row r="58">
      <c r="D58" s="13">
        <f>D57+1</f>
        <v/>
      </c>
      <c r="E58" s="19" t="inlineStr">
        <is>
          <t>Cuba</t>
        </is>
      </c>
      <c r="F58" s="21">
        <f t="array" ref="F58">SUMPRODUCT(ISNUMBER(SEARCH(E58,$A$4:$A$36))*$B$4:$B$36)</f>
        <v/>
      </c>
      <c r="I58" s="7" t="inlineStr">
        <is>
          <t>Cote D'Ivoire</t>
        </is>
      </c>
      <c r="J58" s="35" t="n">
        <v>0</v>
      </c>
    </row>
    <row r="59">
      <c r="D59" s="13">
        <f>D58+1</f>
        <v/>
      </c>
      <c r="E59" s="19" t="inlineStr">
        <is>
          <t>Cyprus</t>
        </is>
      </c>
      <c r="F59" s="21">
        <f t="array" ref="F59">SUMPRODUCT(ISNUMBER(SEARCH(E59,$A$4:$A$36))*$B$4:$B$36)</f>
        <v/>
      </c>
      <c r="I59" s="7" t="inlineStr">
        <is>
          <t>Croatia (Local Name: Hrvatska)</t>
        </is>
      </c>
      <c r="J59" s="35" t="n">
        <v>0</v>
      </c>
    </row>
    <row r="60">
      <c r="D60" s="13">
        <f>D59+1</f>
        <v/>
      </c>
      <c r="E60" s="19" t="inlineStr">
        <is>
          <t>Czech Republic</t>
        </is>
      </c>
      <c r="F60" s="21">
        <f t="array" ref="F60">SUMPRODUCT(ISNUMBER(SEARCH(E60,$A$4:$A$36))*$B$4:$B$36)</f>
        <v/>
      </c>
      <c r="I60" s="7" t="inlineStr">
        <is>
          <t>Cuba</t>
        </is>
      </c>
      <c r="J60" s="35" t="n">
        <v>0</v>
      </c>
    </row>
    <row r="61">
      <c r="D61" s="13">
        <f>D60+1</f>
        <v/>
      </c>
      <c r="E61" s="19" t="inlineStr">
        <is>
          <t>Denmark</t>
        </is>
      </c>
      <c r="F61" s="21">
        <f t="array" ref="F61">SUMPRODUCT(ISNUMBER(SEARCH(E61,$A$4:$A$36))*$B$4:$B$36)</f>
        <v/>
      </c>
      <c r="I61" s="7" t="inlineStr">
        <is>
          <t>Cyprus</t>
        </is>
      </c>
      <c r="J61" s="35" t="n">
        <v>0</v>
      </c>
    </row>
    <row r="62">
      <c r="D62" s="13">
        <f>D61+1</f>
        <v/>
      </c>
      <c r="E62" s="19" t="inlineStr">
        <is>
          <t>Djibouti</t>
        </is>
      </c>
      <c r="F62" s="21">
        <f t="array" ref="F62">SUMPRODUCT(ISNUMBER(SEARCH(E62,$A$4:$A$36))*$B$4:$B$36)</f>
        <v/>
      </c>
      <c r="I62" s="7" t="inlineStr">
        <is>
          <t>Czech Republic</t>
        </is>
      </c>
      <c r="J62" s="35" t="n">
        <v>0</v>
      </c>
    </row>
    <row r="63">
      <c r="D63" s="13">
        <f>D62+1</f>
        <v/>
      </c>
      <c r="E63" s="19" t="inlineStr">
        <is>
          <t>Dominica</t>
        </is>
      </c>
      <c r="F63" s="21">
        <f t="array" ref="F63">SUMPRODUCT(ISNUMBER(SEARCH(E63,$A$4:$A$36))*$B$4:$B$36)</f>
        <v/>
      </c>
      <c r="I63" s="7" t="inlineStr">
        <is>
          <t>Denmark</t>
        </is>
      </c>
      <c r="J63" s="35" t="n">
        <v>0</v>
      </c>
    </row>
    <row r="64">
      <c r="D64" s="13">
        <f>D63+1</f>
        <v/>
      </c>
      <c r="E64" s="19" t="inlineStr">
        <is>
          <t>Dominican Republic</t>
        </is>
      </c>
      <c r="F64" s="21">
        <f t="array" ref="F64">SUMPRODUCT(ISNUMBER(SEARCH(E64,$A$4:$A$36))*$B$4:$B$36)</f>
        <v/>
      </c>
      <c r="I64" s="7" t="inlineStr">
        <is>
          <t>Djibouti</t>
        </is>
      </c>
      <c r="J64" s="35" t="n">
        <v>0</v>
      </c>
    </row>
    <row r="65">
      <c r="D65" s="13">
        <f>D64+1</f>
        <v/>
      </c>
      <c r="E65" s="19" t="inlineStr">
        <is>
          <t>East Timor</t>
        </is>
      </c>
      <c r="F65" s="21">
        <f t="array" ref="F65">SUMPRODUCT(ISNUMBER(SEARCH(E65,$A$4:$A$36))*$B$4:$B$36)</f>
        <v/>
      </c>
      <c r="I65" s="7" t="inlineStr">
        <is>
          <t>Dominica</t>
        </is>
      </c>
      <c r="J65" s="35" t="n">
        <v>0</v>
      </c>
    </row>
    <row r="66">
      <c r="D66" s="13">
        <f>D65+1</f>
        <v/>
      </c>
      <c r="E66" s="19" t="inlineStr">
        <is>
          <t>Ecuador</t>
        </is>
      </c>
      <c r="F66" s="21">
        <f t="array" ref="F66">SUMPRODUCT(ISNUMBER(SEARCH(E66,$A$4:$A$36))*$B$4:$B$36)</f>
        <v/>
      </c>
      <c r="I66" s="7" t="inlineStr">
        <is>
          <t>Dominican Republic</t>
        </is>
      </c>
      <c r="J66" s="35" t="n">
        <v>0</v>
      </c>
    </row>
    <row r="67">
      <c r="D67" s="13">
        <f>D66+1</f>
        <v/>
      </c>
      <c r="E67" s="19" t="inlineStr">
        <is>
          <t>Egypt</t>
        </is>
      </c>
      <c r="F67" s="21">
        <f t="array" ref="F67">SUMPRODUCT(ISNUMBER(SEARCH(E67,$A$4:$A$36))*$B$4:$B$36)</f>
        <v/>
      </c>
      <c r="I67" s="7" t="inlineStr">
        <is>
          <t>East Timor</t>
        </is>
      </c>
      <c r="J67" s="35" t="n">
        <v>0</v>
      </c>
    </row>
    <row r="68">
      <c r="D68" s="13">
        <f>D67+1</f>
        <v/>
      </c>
      <c r="E68" s="19" t="inlineStr">
        <is>
          <t>El Salvador</t>
        </is>
      </c>
      <c r="F68" s="21">
        <f t="array" ref="F68">SUMPRODUCT(ISNUMBER(SEARCH(E68,$A$4:$A$36))*$B$4:$B$36)</f>
        <v/>
      </c>
      <c r="I68" s="7" t="inlineStr">
        <is>
          <t>Ecuador</t>
        </is>
      </c>
      <c r="J68" s="35" t="n">
        <v>0</v>
      </c>
    </row>
    <row r="69">
      <c r="D69" s="13">
        <f>D68+1</f>
        <v/>
      </c>
      <c r="E69" s="19" t="inlineStr">
        <is>
          <t>Equatorial Guinea</t>
        </is>
      </c>
      <c r="F69" s="21">
        <f t="array" ref="F69">SUMPRODUCT(ISNUMBER(SEARCH(E69,$A$4:$A$36))*$B$4:$B$36)</f>
        <v/>
      </c>
      <c r="I69" s="7" t="inlineStr">
        <is>
          <t>Egypt</t>
        </is>
      </c>
      <c r="J69" s="35" t="n">
        <v>0</v>
      </c>
    </row>
    <row r="70">
      <c r="D70" s="13">
        <f>D69+1</f>
        <v/>
      </c>
      <c r="E70" s="19" t="inlineStr">
        <is>
          <t>Eritrea</t>
        </is>
      </c>
      <c r="F70" s="21">
        <f t="array" ref="F70">SUMPRODUCT(ISNUMBER(SEARCH(E70,$A$4:$A$36))*$B$4:$B$36)</f>
        <v/>
      </c>
      <c r="I70" s="7" t="inlineStr">
        <is>
          <t>El Salvador</t>
        </is>
      </c>
      <c r="J70" s="35" t="n">
        <v>0</v>
      </c>
    </row>
    <row r="71">
      <c r="D71" s="13">
        <f>D70+1</f>
        <v/>
      </c>
      <c r="E71" s="19" t="inlineStr">
        <is>
          <t>Estonia</t>
        </is>
      </c>
      <c r="F71" s="21">
        <f t="array" ref="F71">SUMPRODUCT(ISNUMBER(SEARCH(E71,$A$4:$A$36))*$B$4:$B$36)</f>
        <v/>
      </c>
      <c r="I71" s="7" t="inlineStr">
        <is>
          <t>Equatorial Guinea</t>
        </is>
      </c>
      <c r="J71" s="35" t="n">
        <v>0</v>
      </c>
    </row>
    <row r="72">
      <c r="D72" s="13">
        <f>D71+1</f>
        <v/>
      </c>
      <c r="E72" s="19" t="inlineStr">
        <is>
          <t>Ethiopia</t>
        </is>
      </c>
      <c r="F72" s="21">
        <f t="array" ref="F72">SUMPRODUCT(ISNUMBER(SEARCH(E72,$A$4:$A$36))*$B$4:$B$36)</f>
        <v/>
      </c>
      <c r="I72" s="7" t="inlineStr">
        <is>
          <t>Eritrea</t>
        </is>
      </c>
      <c r="J72" s="35" t="n">
        <v>0</v>
      </c>
    </row>
    <row r="73">
      <c r="D73" s="13">
        <f>D72+1</f>
        <v/>
      </c>
      <c r="E73" s="19" t="inlineStr">
        <is>
          <t>Falkland Islands (Malvinas)</t>
        </is>
      </c>
      <c r="F73" s="21">
        <f t="array" ref="F73">SUMPRODUCT(ISNUMBER(SEARCH(E73,$A$4:$A$36))*$B$4:$B$36)</f>
        <v/>
      </c>
      <c r="I73" s="7" t="inlineStr">
        <is>
          <t>Estonia</t>
        </is>
      </c>
      <c r="J73" s="35" t="n">
        <v>0</v>
      </c>
    </row>
    <row r="74">
      <c r="D74" s="13">
        <f>D73+1</f>
        <v/>
      </c>
      <c r="E74" s="19" t="inlineStr">
        <is>
          <t>Faroe Islands</t>
        </is>
      </c>
      <c r="F74" s="21">
        <f t="array" ref="F74">SUMPRODUCT(ISNUMBER(SEARCH(E74,$A$4:$A$36))*$B$4:$B$36)</f>
        <v/>
      </c>
      <c r="I74" s="7" t="inlineStr">
        <is>
          <t>Ethiopia</t>
        </is>
      </c>
      <c r="J74" s="35" t="n">
        <v>0</v>
      </c>
    </row>
    <row r="75">
      <c r="D75" s="13">
        <f>D74+1</f>
        <v/>
      </c>
      <c r="E75" s="19" t="inlineStr">
        <is>
          <t>Fiji</t>
        </is>
      </c>
      <c r="F75" s="21">
        <f t="array" ref="F75">SUMPRODUCT(ISNUMBER(SEARCH(E75,$A$4:$A$36))*$B$4:$B$36)</f>
        <v/>
      </c>
      <c r="I75" s="7" t="inlineStr">
        <is>
          <t>Falkland Islands (Malvinas)</t>
        </is>
      </c>
      <c r="J75" s="35" t="n">
        <v>0</v>
      </c>
    </row>
    <row r="76">
      <c r="D76" s="13">
        <f>D75+1</f>
        <v/>
      </c>
      <c r="E76" s="19" t="inlineStr">
        <is>
          <t>Finland</t>
        </is>
      </c>
      <c r="F76" s="21">
        <f t="array" ref="F76">SUMPRODUCT(ISNUMBER(SEARCH(E76,$A$4:$A$36))*$B$4:$B$36)</f>
        <v/>
      </c>
      <c r="I76" s="7" t="inlineStr">
        <is>
          <t>Faroe Islands</t>
        </is>
      </c>
      <c r="J76" s="35" t="n">
        <v>0</v>
      </c>
    </row>
    <row r="77">
      <c r="D77" s="13">
        <f>D76+1</f>
        <v/>
      </c>
      <c r="E77" s="19" t="inlineStr">
        <is>
          <t>France</t>
        </is>
      </c>
      <c r="F77" s="21">
        <f t="array" ref="F77">SUMPRODUCT(ISNUMBER(SEARCH(E77,$A$4:$A$36))*$B$4:$B$36)</f>
        <v/>
      </c>
      <c r="I77" s="7" t="inlineStr">
        <is>
          <t>Fiji</t>
        </is>
      </c>
      <c r="J77" s="35" t="n">
        <v>0</v>
      </c>
    </row>
    <row r="78">
      <c r="D78" s="13">
        <f>D77+1</f>
        <v/>
      </c>
      <c r="E78" s="19" t="inlineStr">
        <is>
          <t>France, Metropolitan</t>
        </is>
      </c>
      <c r="F78" s="21">
        <f t="array" ref="F78">SUMPRODUCT(ISNUMBER(SEARCH(E78,$A$4:$A$36))*$B$4:$B$36)</f>
        <v/>
      </c>
      <c r="I78" s="7" t="inlineStr">
        <is>
          <t>Finland</t>
        </is>
      </c>
      <c r="J78" s="35" t="n">
        <v>0</v>
      </c>
    </row>
    <row r="79">
      <c r="D79" s="13">
        <f>D78+1</f>
        <v/>
      </c>
      <c r="E79" s="19" t="inlineStr">
        <is>
          <t>French Guiana</t>
        </is>
      </c>
      <c r="F79" s="21">
        <f t="array" ref="F79">SUMPRODUCT(ISNUMBER(SEARCH(E79,$A$4:$A$36))*$B$4:$B$36)</f>
        <v/>
      </c>
      <c r="I79" s="7" t="inlineStr">
        <is>
          <t>France</t>
        </is>
      </c>
      <c r="J79" s="35" t="n">
        <v>0</v>
      </c>
    </row>
    <row r="80">
      <c r="D80" s="13">
        <f>D79+1</f>
        <v/>
      </c>
      <c r="E80" s="19" t="inlineStr">
        <is>
          <t>French Polynesia</t>
        </is>
      </c>
      <c r="F80" s="21">
        <f t="array" ref="F80">SUMPRODUCT(ISNUMBER(SEARCH(E80,$A$4:$A$36))*$B$4:$B$36)</f>
        <v/>
      </c>
      <c r="I80" s="7" t="inlineStr">
        <is>
          <t>France, Metropolitan</t>
        </is>
      </c>
      <c r="J80" s="35" t="n">
        <v>0</v>
      </c>
    </row>
    <row r="81">
      <c r="D81" s="13">
        <f>D80+1</f>
        <v/>
      </c>
      <c r="E81" s="19" t="inlineStr">
        <is>
          <t>French Southern Territories</t>
        </is>
      </c>
      <c r="F81" s="21">
        <f t="array" ref="F81">SUMPRODUCT(ISNUMBER(SEARCH(E81,$A$4:$A$36))*$B$4:$B$36)</f>
        <v/>
      </c>
      <c r="I81" s="7" t="inlineStr">
        <is>
          <t>French Guiana</t>
        </is>
      </c>
      <c r="J81" s="35" t="n">
        <v>0</v>
      </c>
    </row>
    <row r="82">
      <c r="D82" s="13">
        <f>D81+1</f>
        <v/>
      </c>
      <c r="E82" s="19" t="inlineStr">
        <is>
          <t>Gabon</t>
        </is>
      </c>
      <c r="F82" s="21">
        <f t="array" ref="F82">SUMPRODUCT(ISNUMBER(SEARCH(E82,$A$4:$A$36))*$B$4:$B$36)</f>
        <v/>
      </c>
      <c r="I82" s="7" t="inlineStr">
        <is>
          <t>French Polynesia</t>
        </is>
      </c>
      <c r="J82" s="35" t="n">
        <v>0</v>
      </c>
    </row>
    <row r="83">
      <c r="D83" s="13">
        <f>D82+1</f>
        <v/>
      </c>
      <c r="E83" s="19" t="inlineStr">
        <is>
          <t>Gambia</t>
        </is>
      </c>
      <c r="F83" s="21">
        <f t="array" ref="F83">SUMPRODUCT(ISNUMBER(SEARCH(E83,$A$4:$A$36))*$B$4:$B$36)</f>
        <v/>
      </c>
      <c r="I83" s="7" t="inlineStr">
        <is>
          <t>French Southern Territories</t>
        </is>
      </c>
      <c r="J83" s="35" t="n">
        <v>0</v>
      </c>
    </row>
    <row r="84">
      <c r="D84" s="13">
        <f>D83+1</f>
        <v/>
      </c>
      <c r="E84" s="19" t="inlineStr">
        <is>
          <t>Georgia</t>
        </is>
      </c>
      <c r="F84" s="21">
        <f t="array" ref="F84">SUMPRODUCT(ISNUMBER(SEARCH(E84,$A$4:$A$36))*$B$4:$B$36)</f>
        <v/>
      </c>
      <c r="I84" s="7" t="inlineStr">
        <is>
          <t>Gabon</t>
        </is>
      </c>
      <c r="J84" s="35" t="n">
        <v>0</v>
      </c>
    </row>
    <row r="85">
      <c r="D85" s="13">
        <f>D84+1</f>
        <v/>
      </c>
      <c r="E85" s="19" t="inlineStr">
        <is>
          <t>Germany</t>
        </is>
      </c>
      <c r="F85" s="21">
        <f t="array" ref="F85">SUMPRODUCT(ISNUMBER(SEARCH(E85,$A$4:$A$36))*$B$4:$B$36)</f>
        <v/>
      </c>
      <c r="I85" s="7" t="inlineStr">
        <is>
          <t>Gambia</t>
        </is>
      </c>
      <c r="J85" s="35" t="n">
        <v>0</v>
      </c>
    </row>
    <row r="86">
      <c r="D86" s="13">
        <f>D85+1</f>
        <v/>
      </c>
      <c r="E86" s="19" t="inlineStr">
        <is>
          <t>Ghana</t>
        </is>
      </c>
      <c r="F86" s="21">
        <f t="array" ref="F86">SUMPRODUCT(ISNUMBER(SEARCH(E86,$A$4:$A$36))*$B$4:$B$36)</f>
        <v/>
      </c>
      <c r="I86" s="7" t="inlineStr">
        <is>
          <t>Georgia</t>
        </is>
      </c>
      <c r="J86" s="35" t="n">
        <v>0</v>
      </c>
    </row>
    <row r="87">
      <c r="D87" s="13">
        <f>D86+1</f>
        <v/>
      </c>
      <c r="E87" s="19" t="inlineStr">
        <is>
          <t>Gibraltar</t>
        </is>
      </c>
      <c r="F87" s="21">
        <f t="array" ref="F87">SUMPRODUCT(ISNUMBER(SEARCH(E87,$A$4:$A$36))*$B$4:$B$36)</f>
        <v/>
      </c>
      <c r="I87" s="7" t="inlineStr">
        <is>
          <t>Germany</t>
        </is>
      </c>
      <c r="J87" s="35" t="n">
        <v>0</v>
      </c>
    </row>
    <row r="88">
      <c r="D88" s="13">
        <f>D87+1</f>
        <v/>
      </c>
      <c r="E88" s="19" t="inlineStr">
        <is>
          <t>Greece</t>
        </is>
      </c>
      <c r="F88" s="21">
        <f t="array" ref="F88">SUMPRODUCT(ISNUMBER(SEARCH(E88,$A$4:$A$36))*$B$4:$B$36)</f>
        <v/>
      </c>
      <c r="I88" s="7" t="inlineStr">
        <is>
          <t>Ghana</t>
        </is>
      </c>
      <c r="J88" s="35" t="n">
        <v>0</v>
      </c>
    </row>
    <row r="89">
      <c r="D89" s="13">
        <f>D88+1</f>
        <v/>
      </c>
      <c r="E89" s="19" t="inlineStr">
        <is>
          <t>Greenland</t>
        </is>
      </c>
      <c r="F89" s="21">
        <f t="array" ref="F89">SUMPRODUCT(ISNUMBER(SEARCH(E89,$A$4:$A$36))*$B$4:$B$36)</f>
        <v/>
      </c>
      <c r="I89" s="7" t="inlineStr">
        <is>
          <t>Gibraltar</t>
        </is>
      </c>
      <c r="J89" s="35" t="n">
        <v>0</v>
      </c>
    </row>
    <row r="90">
      <c r="D90" s="13">
        <f>D89+1</f>
        <v/>
      </c>
      <c r="E90" s="19" t="inlineStr">
        <is>
          <t>Grenada</t>
        </is>
      </c>
      <c r="F90" s="21">
        <f t="array" ref="F90">SUMPRODUCT(ISNUMBER(SEARCH(E90,$A$4:$A$36))*$B$4:$B$36)</f>
        <v/>
      </c>
      <c r="I90" s="7" t="inlineStr">
        <is>
          <t>Greece</t>
        </is>
      </c>
      <c r="J90" s="35" t="n">
        <v>0</v>
      </c>
    </row>
    <row r="91">
      <c r="D91" s="13">
        <f>D90+1</f>
        <v/>
      </c>
      <c r="E91" s="19" t="inlineStr">
        <is>
          <t>Guadeloupe</t>
        </is>
      </c>
      <c r="F91" s="21">
        <f t="array" ref="F91">SUMPRODUCT(ISNUMBER(SEARCH(E91,$A$4:$A$36))*$B$4:$B$36)</f>
        <v/>
      </c>
      <c r="I91" s="7" t="inlineStr">
        <is>
          <t>Greenland</t>
        </is>
      </c>
      <c r="J91" s="35" t="n">
        <v>0</v>
      </c>
    </row>
    <row r="92">
      <c r="D92" s="13">
        <f>D91+1</f>
        <v/>
      </c>
      <c r="E92" s="19" t="inlineStr">
        <is>
          <t>Guam</t>
        </is>
      </c>
      <c r="F92" s="21">
        <f t="array" ref="F92">SUMPRODUCT(ISNUMBER(SEARCH(E92,$A$4:$A$36))*$B$4:$B$36)</f>
        <v/>
      </c>
      <c r="I92" s="7" t="inlineStr">
        <is>
          <t>Grenada</t>
        </is>
      </c>
      <c r="J92" s="35" t="n">
        <v>0</v>
      </c>
    </row>
    <row r="93">
      <c r="D93" s="13">
        <f>D92+1</f>
        <v/>
      </c>
      <c r="E93" s="19" t="inlineStr">
        <is>
          <t>Guatemala</t>
        </is>
      </c>
      <c r="F93" s="21">
        <f t="array" ref="F93">SUMPRODUCT(ISNUMBER(SEARCH(E93,$A$4:$A$36))*$B$4:$B$36)</f>
        <v/>
      </c>
      <c r="I93" s="7" t="inlineStr">
        <is>
          <t>Guadeloupe</t>
        </is>
      </c>
      <c r="J93" s="35" t="n">
        <v>0</v>
      </c>
    </row>
    <row r="94">
      <c r="D94" s="13">
        <f>D93+1</f>
        <v/>
      </c>
      <c r="E94" s="19" t="inlineStr">
        <is>
          <t>Guinea</t>
        </is>
      </c>
      <c r="F94" s="21">
        <f t="array" ref="F94">SUMPRODUCT(ISNUMBER(SEARCH(E94,$A$4:$A$36))*$B$4:$B$36)</f>
        <v/>
      </c>
      <c r="I94" s="7" t="inlineStr">
        <is>
          <t>Guam</t>
        </is>
      </c>
      <c r="J94" s="35" t="n">
        <v>0</v>
      </c>
    </row>
    <row r="95">
      <c r="D95" s="13">
        <f>D94+1</f>
        <v/>
      </c>
      <c r="E95" s="19" t="inlineStr">
        <is>
          <t>Guinea-Bissau</t>
        </is>
      </c>
      <c r="F95" s="21">
        <f t="array" ref="F95">SUMPRODUCT(ISNUMBER(SEARCH(E95,$A$4:$A$36))*$B$4:$B$36)</f>
        <v/>
      </c>
      <c r="I95" s="7" t="inlineStr">
        <is>
          <t>Guatemala</t>
        </is>
      </c>
      <c r="J95" s="35" t="n">
        <v>0</v>
      </c>
    </row>
    <row r="96">
      <c r="D96" s="13">
        <f>D95+1</f>
        <v/>
      </c>
      <c r="E96" s="19" t="inlineStr">
        <is>
          <t>Guyana</t>
        </is>
      </c>
      <c r="F96" s="21">
        <f t="array" ref="F96">SUMPRODUCT(ISNUMBER(SEARCH(E96,$A$4:$A$36))*$B$4:$B$36)</f>
        <v/>
      </c>
      <c r="I96" s="7" t="inlineStr">
        <is>
          <t>Guinea</t>
        </is>
      </c>
      <c r="J96" s="35" t="n">
        <v>0</v>
      </c>
    </row>
    <row r="97">
      <c r="D97" s="13">
        <f>D96+1</f>
        <v/>
      </c>
      <c r="E97" s="19" t="inlineStr">
        <is>
          <t>Haiti</t>
        </is>
      </c>
      <c r="F97" s="21">
        <f t="array" ref="F97">SUMPRODUCT(ISNUMBER(SEARCH(E97,$A$4:$A$36))*$B$4:$B$36)</f>
        <v/>
      </c>
      <c r="I97" s="7" t="inlineStr">
        <is>
          <t>Guinea-Bissau</t>
        </is>
      </c>
      <c r="J97" s="35" t="n">
        <v>0</v>
      </c>
    </row>
    <row r="98">
      <c r="D98" s="13">
        <f>D97+1</f>
        <v/>
      </c>
      <c r="E98" s="19" t="inlineStr">
        <is>
          <t>Heard And Mc Donald Islands</t>
        </is>
      </c>
      <c r="F98" s="21">
        <f t="array" ref="F98">SUMPRODUCT(ISNUMBER(SEARCH(E98,$A$4:$A$36))*$B$4:$B$36)</f>
        <v/>
      </c>
      <c r="I98" s="7" t="inlineStr">
        <is>
          <t>Guyana</t>
        </is>
      </c>
      <c r="J98" s="35" t="n">
        <v>0</v>
      </c>
    </row>
    <row r="99">
      <c r="D99" s="13">
        <f>D98+1</f>
        <v/>
      </c>
      <c r="E99" s="19" t="inlineStr">
        <is>
          <t>Holy See (Vatican City State)</t>
        </is>
      </c>
      <c r="F99" s="21">
        <f t="array" ref="F99">SUMPRODUCT(ISNUMBER(SEARCH(E99,$A$4:$A$36))*$B$4:$B$36)</f>
        <v/>
      </c>
      <c r="I99" s="7" t="inlineStr">
        <is>
          <t>Haiti</t>
        </is>
      </c>
      <c r="J99" s="35" t="n">
        <v>0</v>
      </c>
    </row>
    <row r="100">
      <c r="D100" s="13">
        <f>D99+1</f>
        <v/>
      </c>
      <c r="E100" s="19" t="inlineStr">
        <is>
          <t>Honduras</t>
        </is>
      </c>
      <c r="F100" s="21">
        <f t="array" ref="F100">SUMPRODUCT(ISNUMBER(SEARCH(E100,$A$4:$A$36))*$B$4:$B$36)</f>
        <v/>
      </c>
      <c r="I100" s="7" t="inlineStr">
        <is>
          <t>Heard And Mc Donald Islands</t>
        </is>
      </c>
      <c r="J100" s="35" t="n">
        <v>0</v>
      </c>
    </row>
    <row r="101">
      <c r="D101" s="13">
        <f>D100+1</f>
        <v/>
      </c>
      <c r="E101" s="19" t="inlineStr">
        <is>
          <t>Hong Kong</t>
        </is>
      </c>
      <c r="F101" s="21">
        <f t="array" ref="F101">SUMPRODUCT(ISNUMBER(SEARCH(E101,$A$4:$A$36))*$B$4:$B$36)</f>
        <v/>
      </c>
      <c r="I101" s="7" t="inlineStr">
        <is>
          <t>Holy See (Vatican City State)</t>
        </is>
      </c>
      <c r="J101" s="35" t="n">
        <v>0</v>
      </c>
    </row>
    <row r="102">
      <c r="D102" s="13">
        <f>D101+1</f>
        <v/>
      </c>
      <c r="E102" s="19" t="inlineStr">
        <is>
          <t>Hungary</t>
        </is>
      </c>
      <c r="F102" s="21">
        <f t="array" ref="F102">SUMPRODUCT(ISNUMBER(SEARCH(E102,$A$4:$A$36))*$B$4:$B$36)</f>
        <v/>
      </c>
      <c r="I102" s="7" t="inlineStr">
        <is>
          <t>Honduras</t>
        </is>
      </c>
      <c r="J102" s="35" t="n">
        <v>0</v>
      </c>
    </row>
    <row r="103">
      <c r="D103" s="13">
        <f>D102+1</f>
        <v/>
      </c>
      <c r="E103" s="19" t="inlineStr">
        <is>
          <t>Iceland</t>
        </is>
      </c>
      <c r="F103" s="21">
        <f t="array" ref="F103">SUMPRODUCT(ISNUMBER(SEARCH(E103,$A$4:$A$36))*$B$4:$B$36)</f>
        <v/>
      </c>
      <c r="I103" s="7" t="inlineStr">
        <is>
          <t>Hong Kong</t>
        </is>
      </c>
      <c r="J103" s="35" t="n">
        <v>0</v>
      </c>
    </row>
    <row r="104">
      <c r="D104" s="13">
        <f>D103+1</f>
        <v/>
      </c>
      <c r="E104" s="19" t="inlineStr">
        <is>
          <t>India</t>
        </is>
      </c>
      <c r="F104" s="21">
        <f t="array" ref="F104">SUMPRODUCT(ISNUMBER(SEARCH(E104,$A$4:$A$36))*$B$4:$B$36)</f>
        <v/>
      </c>
      <c r="I104" s="7" t="inlineStr">
        <is>
          <t>Hungary</t>
        </is>
      </c>
      <c r="J104" s="35" t="n">
        <v>0</v>
      </c>
    </row>
    <row r="105">
      <c r="D105" s="13">
        <f>D104+1</f>
        <v/>
      </c>
      <c r="E105" s="19" t="inlineStr">
        <is>
          <t>Indonesia</t>
        </is>
      </c>
      <c r="F105" s="21">
        <f t="array" ref="F105">SUMPRODUCT(ISNUMBER(SEARCH(E105,$A$4:$A$36))*$B$4:$B$36)</f>
        <v/>
      </c>
      <c r="I105" s="7" t="inlineStr">
        <is>
          <t>Iceland</t>
        </is>
      </c>
      <c r="J105" s="35" t="n">
        <v>0</v>
      </c>
    </row>
    <row r="106">
      <c r="D106" s="13">
        <f>D105+1</f>
        <v/>
      </c>
      <c r="E106" s="19" t="inlineStr">
        <is>
          <t>Iran (Islamic Republic Of)</t>
        </is>
      </c>
      <c r="F106" s="21">
        <f t="array" ref="F106">SUMPRODUCT(ISNUMBER(SEARCH(E106,$A$4:$A$36))*$B$4:$B$36)</f>
        <v/>
      </c>
      <c r="I106" s="7" t="inlineStr">
        <is>
          <t>Indonesia</t>
        </is>
      </c>
      <c r="J106" s="35" t="n">
        <v>0</v>
      </c>
    </row>
    <row r="107">
      <c r="D107" s="13">
        <f>D106+1</f>
        <v/>
      </c>
      <c r="E107" s="19" t="inlineStr">
        <is>
          <t>Iraq</t>
        </is>
      </c>
      <c r="F107" s="21">
        <f t="array" ref="F107">SUMPRODUCT(ISNUMBER(SEARCH(E107,$A$4:$A$36))*$B$4:$B$36)</f>
        <v/>
      </c>
      <c r="I107" s="7" t="inlineStr">
        <is>
          <t>Iran (Islamic Republic Of)</t>
        </is>
      </c>
      <c r="J107" s="35" t="n">
        <v>0</v>
      </c>
    </row>
    <row r="108">
      <c r="D108" s="13">
        <f>D107+1</f>
        <v/>
      </c>
      <c r="E108" s="19" t="inlineStr">
        <is>
          <t>Ireland</t>
        </is>
      </c>
      <c r="F108" s="21">
        <f t="array" ref="F108">SUMPRODUCT(ISNUMBER(SEARCH(E108,$A$4:$A$36))*$B$4:$B$36)</f>
        <v/>
      </c>
      <c r="I108" s="7" t="inlineStr">
        <is>
          <t>Iraq</t>
        </is>
      </c>
      <c r="J108" s="35" t="n">
        <v>0</v>
      </c>
    </row>
    <row r="109">
      <c r="D109" s="13">
        <f>D108+1</f>
        <v/>
      </c>
      <c r="E109" s="19" t="inlineStr">
        <is>
          <t>Israel</t>
        </is>
      </c>
      <c r="F109" s="21">
        <f t="array" ref="F109">SUMPRODUCT(ISNUMBER(SEARCH(E109,$A$4:$A$36))*$B$4:$B$36)</f>
        <v/>
      </c>
      <c r="I109" s="7" t="inlineStr">
        <is>
          <t>Ireland</t>
        </is>
      </c>
      <c r="J109" s="35" t="n">
        <v>0</v>
      </c>
    </row>
    <row r="110">
      <c r="D110" s="13">
        <f>D109+1</f>
        <v/>
      </c>
      <c r="E110" s="19" t="inlineStr">
        <is>
          <t>Italy</t>
        </is>
      </c>
      <c r="F110" s="21">
        <f t="array" ref="F110">SUMPRODUCT(ISNUMBER(SEARCH(E110,$A$4:$A$36))*$B$4:$B$36)</f>
        <v/>
      </c>
      <c r="I110" s="7" t="inlineStr">
        <is>
          <t>Israel</t>
        </is>
      </c>
      <c r="J110" s="35" t="n">
        <v>0</v>
      </c>
    </row>
    <row r="111">
      <c r="D111" s="13">
        <f>D110+1</f>
        <v/>
      </c>
      <c r="E111" s="19" t="inlineStr">
        <is>
          <t>Jamaica</t>
        </is>
      </c>
      <c r="F111" s="21">
        <f t="array" ref="F111">SUMPRODUCT(ISNUMBER(SEARCH(E111,$A$4:$A$36))*$B$4:$B$36)</f>
        <v/>
      </c>
      <c r="I111" s="7" t="inlineStr">
        <is>
          <t>Italy</t>
        </is>
      </c>
      <c r="J111" s="35" t="n">
        <v>0</v>
      </c>
    </row>
    <row r="112">
      <c r="D112" s="13">
        <f>D111+1</f>
        <v/>
      </c>
      <c r="E112" s="19" t="inlineStr">
        <is>
          <t>Japan</t>
        </is>
      </c>
      <c r="F112" s="21">
        <f t="array" ref="F112">SUMPRODUCT(ISNUMBER(SEARCH(E112,$A$4:$A$36))*$B$4:$B$36)</f>
        <v/>
      </c>
      <c r="I112" s="7" t="inlineStr">
        <is>
          <t>Jamaica</t>
        </is>
      </c>
      <c r="J112" s="35" t="n">
        <v>0</v>
      </c>
    </row>
    <row r="113">
      <c r="D113" s="13">
        <f>D112+1</f>
        <v/>
      </c>
      <c r="E113" s="19" t="inlineStr">
        <is>
          <t>Jordan</t>
        </is>
      </c>
      <c r="F113" s="21">
        <f t="array" ref="F113">SUMPRODUCT(ISNUMBER(SEARCH(E113,$A$4:$A$36))*$B$4:$B$36)</f>
        <v/>
      </c>
      <c r="I113" s="7" t="inlineStr">
        <is>
          <t>Japan</t>
        </is>
      </c>
      <c r="J113" s="35" t="n">
        <v>0</v>
      </c>
    </row>
    <row r="114">
      <c r="D114" s="13">
        <f>D113+1</f>
        <v/>
      </c>
      <c r="E114" s="19" t="inlineStr">
        <is>
          <t>Kazakhstan</t>
        </is>
      </c>
      <c r="F114" s="21">
        <f t="array" ref="F114">SUMPRODUCT(ISNUMBER(SEARCH(E114,$A$4:$A$36))*$B$4:$B$36)</f>
        <v/>
      </c>
      <c r="I114" s="7" t="inlineStr">
        <is>
          <t>Jordan</t>
        </is>
      </c>
      <c r="J114" s="35" t="n">
        <v>0</v>
      </c>
    </row>
    <row r="115">
      <c r="D115" s="13">
        <f>D114+1</f>
        <v/>
      </c>
      <c r="E115" s="19" t="inlineStr">
        <is>
          <t>Kenya</t>
        </is>
      </c>
      <c r="F115" s="21">
        <f t="array" ref="F115">SUMPRODUCT(ISNUMBER(SEARCH(E115,$A$4:$A$36))*$B$4:$B$36)</f>
        <v/>
      </c>
      <c r="I115" s="7" t="inlineStr">
        <is>
          <t>Kazakhstan</t>
        </is>
      </c>
      <c r="J115" s="35" t="n">
        <v>0</v>
      </c>
    </row>
    <row r="116">
      <c r="D116" s="13">
        <f>D115+1</f>
        <v/>
      </c>
      <c r="E116" s="19" t="inlineStr">
        <is>
          <t>Kiribati</t>
        </is>
      </c>
      <c r="F116" s="21">
        <f t="array" ref="F116">SUMPRODUCT(ISNUMBER(SEARCH(E116,$A$4:$A$36))*$B$4:$B$36)</f>
        <v/>
      </c>
      <c r="I116" s="7" t="inlineStr">
        <is>
          <t>Kenya</t>
        </is>
      </c>
      <c r="J116" s="35" t="n">
        <v>0</v>
      </c>
    </row>
    <row r="117">
      <c r="D117" s="13">
        <f>D116+1</f>
        <v/>
      </c>
      <c r="E117" s="19" t="inlineStr">
        <is>
          <t>Korea, D.P.R.O.</t>
        </is>
      </c>
      <c r="F117" s="21">
        <f t="array" ref="F117">SUMPRODUCT(ISNUMBER(SEARCH(E117,$A$4:$A$36))*$B$4:$B$36)</f>
        <v/>
      </c>
      <c r="I117" s="7" t="inlineStr">
        <is>
          <t>Kiribati</t>
        </is>
      </c>
      <c r="J117" s="35" t="n">
        <v>0</v>
      </c>
    </row>
    <row r="118">
      <c r="D118" s="13">
        <f>D117+1</f>
        <v/>
      </c>
      <c r="E118" s="19" t="inlineStr">
        <is>
          <t>Korea</t>
        </is>
      </c>
      <c r="F118" s="21">
        <f t="array" ref="F118">SUMPRODUCT(ISNUMBER(SEARCH(E118,$A$4:$A$36))*$B$4:$B$36)</f>
        <v/>
      </c>
      <c r="I118" s="7" t="inlineStr">
        <is>
          <t>Korea, D.P.R.O.</t>
        </is>
      </c>
      <c r="J118" s="35" t="n">
        <v>0</v>
      </c>
    </row>
    <row r="119">
      <c r="D119" s="13">
        <f>D118+1</f>
        <v/>
      </c>
      <c r="E119" s="19" t="inlineStr">
        <is>
          <t>Kossovo</t>
        </is>
      </c>
      <c r="F119" s="21">
        <f t="array" ref="F119">SUMPRODUCT(ISNUMBER(SEARCH(E119,$A$4:$A$36))*$B$4:$B$36)</f>
        <v/>
      </c>
      <c r="I119" s="7" t="inlineStr">
        <is>
          <t>Korea</t>
        </is>
      </c>
      <c r="J119" s="35" t="n">
        <v>0</v>
      </c>
    </row>
    <row r="120">
      <c r="D120" s="13">
        <f>D119+1</f>
        <v/>
      </c>
      <c r="E120" s="19" t="inlineStr">
        <is>
          <t>Kuwait</t>
        </is>
      </c>
      <c r="F120" s="21">
        <f t="array" ref="F120">SUMPRODUCT(ISNUMBER(SEARCH(E120,$A$4:$A$36))*$B$4:$B$36)</f>
        <v/>
      </c>
      <c r="I120" s="7" t="inlineStr">
        <is>
          <t>Kossovo</t>
        </is>
      </c>
      <c r="J120" s="35" t="n">
        <v>0</v>
      </c>
    </row>
    <row r="121">
      <c r="D121" s="13">
        <f>D120+1</f>
        <v/>
      </c>
      <c r="E121" s="19" t="inlineStr">
        <is>
          <t>Kyrgyzstan</t>
        </is>
      </c>
      <c r="F121" s="21">
        <f t="array" ref="F121">SUMPRODUCT(ISNUMBER(SEARCH(E121,$A$4:$A$36))*$B$4:$B$36)</f>
        <v/>
      </c>
      <c r="I121" s="7" t="inlineStr">
        <is>
          <t>Kuwait</t>
        </is>
      </c>
      <c r="J121" s="35" t="n">
        <v>0</v>
      </c>
    </row>
    <row r="122">
      <c r="D122" s="13">
        <f>D121+1</f>
        <v/>
      </c>
      <c r="E122" s="19" t="inlineStr">
        <is>
          <t xml:space="preserve">Laos </t>
        </is>
      </c>
      <c r="F122" s="21">
        <f t="array" ref="F122">SUMPRODUCT(ISNUMBER(SEARCH(E122,$A$4:$A$36))*$B$4:$B$36)</f>
        <v/>
      </c>
      <c r="I122" s="7" t="inlineStr">
        <is>
          <t>Kyrgyzstan</t>
        </is>
      </c>
      <c r="J122" s="35" t="n">
        <v>0</v>
      </c>
    </row>
    <row r="123">
      <c r="D123" s="13">
        <f>D122+1</f>
        <v/>
      </c>
      <c r="E123" s="19" t="inlineStr">
        <is>
          <t>Latvia</t>
        </is>
      </c>
      <c r="F123" s="21">
        <f t="array" ref="F123">SUMPRODUCT(ISNUMBER(SEARCH(E123,$A$4:$A$36))*$B$4:$B$36)</f>
        <v/>
      </c>
      <c r="I123" s="7" t="inlineStr">
        <is>
          <t xml:space="preserve">Laos </t>
        </is>
      </c>
      <c r="J123" s="35" t="n">
        <v>0</v>
      </c>
    </row>
    <row r="124">
      <c r="D124" s="13">
        <f>D123+1</f>
        <v/>
      </c>
      <c r="E124" s="19" t="inlineStr">
        <is>
          <t>Lebanon</t>
        </is>
      </c>
      <c r="F124" s="21">
        <f t="array" ref="F124">SUMPRODUCT(ISNUMBER(SEARCH(E124,$A$4:$A$36))*$B$4:$B$36)</f>
        <v/>
      </c>
      <c r="I124" s="7" t="inlineStr">
        <is>
          <t>Latvia</t>
        </is>
      </c>
      <c r="J124" s="35" t="n">
        <v>0</v>
      </c>
    </row>
    <row r="125">
      <c r="D125" s="13">
        <f>D124+1</f>
        <v/>
      </c>
      <c r="E125" s="19" t="inlineStr">
        <is>
          <t>Lesotho</t>
        </is>
      </c>
      <c r="F125" s="21">
        <f t="array" ref="F125">SUMPRODUCT(ISNUMBER(SEARCH(E125,$A$4:$A$36))*$B$4:$B$36)</f>
        <v/>
      </c>
      <c r="I125" s="7" t="inlineStr">
        <is>
          <t>Lebanon</t>
        </is>
      </c>
      <c r="J125" s="35" t="n">
        <v>0</v>
      </c>
    </row>
    <row r="126">
      <c r="D126" s="13">
        <f>D125+1</f>
        <v/>
      </c>
      <c r="E126" s="19" t="inlineStr">
        <is>
          <t>Liberia</t>
        </is>
      </c>
      <c r="F126" s="21">
        <f t="array" ref="F126">SUMPRODUCT(ISNUMBER(SEARCH(E126,$A$4:$A$36))*$B$4:$B$36)</f>
        <v/>
      </c>
      <c r="I126" s="7" t="inlineStr">
        <is>
          <t>Lesotho</t>
        </is>
      </c>
      <c r="J126" s="35" t="n">
        <v>0</v>
      </c>
    </row>
    <row r="127">
      <c r="D127" s="13">
        <f>D126+1</f>
        <v/>
      </c>
      <c r="E127" s="19" t="inlineStr">
        <is>
          <t>Libyan Arab Jamahiriya</t>
        </is>
      </c>
      <c r="F127" s="21">
        <f t="array" ref="F127">SUMPRODUCT(ISNUMBER(SEARCH(E127,$A$4:$A$36))*$B$4:$B$36)</f>
        <v/>
      </c>
      <c r="I127" s="7" t="inlineStr">
        <is>
          <t>Liberia</t>
        </is>
      </c>
      <c r="J127" s="35" t="n">
        <v>0</v>
      </c>
    </row>
    <row r="128">
      <c r="D128" s="13">
        <f>D127+1</f>
        <v/>
      </c>
      <c r="E128" s="19" t="inlineStr">
        <is>
          <t>Liechtenstein</t>
        </is>
      </c>
      <c r="F128" s="21">
        <f t="array" ref="F128">SUMPRODUCT(ISNUMBER(SEARCH(E128,$A$4:$A$36))*$B$4:$B$36)</f>
        <v/>
      </c>
      <c r="I128" s="7" t="inlineStr">
        <is>
          <t>Libyan Arab Jamahiriya</t>
        </is>
      </c>
      <c r="J128" s="35" t="n">
        <v>0</v>
      </c>
    </row>
    <row r="129">
      <c r="D129" s="13">
        <f>D128+1</f>
        <v/>
      </c>
      <c r="E129" s="19" t="inlineStr">
        <is>
          <t>Lithuania</t>
        </is>
      </c>
      <c r="F129" s="21">
        <f t="array" ref="F129">SUMPRODUCT(ISNUMBER(SEARCH(E129,$A$4:$A$36))*$B$4:$B$36)</f>
        <v/>
      </c>
      <c r="I129" s="7" t="inlineStr">
        <is>
          <t>Liechtenstein</t>
        </is>
      </c>
      <c r="J129" s="35" t="n">
        <v>0</v>
      </c>
    </row>
    <row r="130">
      <c r="D130" s="13">
        <f>D129+1</f>
        <v/>
      </c>
      <c r="E130" s="19" t="inlineStr">
        <is>
          <t>Luxembourg</t>
        </is>
      </c>
      <c r="F130" s="21">
        <f t="array" ref="F130">SUMPRODUCT(ISNUMBER(SEARCH(E130,$A$4:$A$36))*$B$4:$B$36)</f>
        <v/>
      </c>
      <c r="I130" s="7" t="inlineStr">
        <is>
          <t>Lithuania</t>
        </is>
      </c>
      <c r="J130" s="35" t="n">
        <v>0</v>
      </c>
    </row>
    <row r="131">
      <c r="D131" s="13">
        <f>D130+1</f>
        <v/>
      </c>
      <c r="E131" s="19" t="inlineStr">
        <is>
          <t>Macau</t>
        </is>
      </c>
      <c r="F131" s="21">
        <f t="array" ref="F131">SUMPRODUCT(ISNUMBER(SEARCH(E131,$A$4:$A$36))*$B$4:$B$36)</f>
        <v/>
      </c>
      <c r="I131" s="7" t="inlineStr">
        <is>
          <t>Luxembourg</t>
        </is>
      </c>
      <c r="J131" s="35" t="n">
        <v>0</v>
      </c>
    </row>
    <row r="132">
      <c r="D132" s="13">
        <f>D131+1</f>
        <v/>
      </c>
      <c r="E132" s="19" t="inlineStr">
        <is>
          <t>Macedonia</t>
        </is>
      </c>
      <c r="F132" s="21">
        <f t="array" ref="F132">SUMPRODUCT(ISNUMBER(SEARCH(E132,$A$4:$A$36))*$B$4:$B$36)</f>
        <v/>
      </c>
      <c r="I132" s="7" t="inlineStr">
        <is>
          <t>Macau</t>
        </is>
      </c>
      <c r="J132" s="35" t="n">
        <v>0</v>
      </c>
    </row>
    <row r="133">
      <c r="D133" s="13">
        <f>D132+1</f>
        <v/>
      </c>
      <c r="E133" s="19" t="inlineStr">
        <is>
          <t>Madagascar</t>
        </is>
      </c>
      <c r="F133" s="21">
        <f t="array" ref="F133">SUMPRODUCT(ISNUMBER(SEARCH(E133,$A$4:$A$36))*$B$4:$B$36)</f>
        <v/>
      </c>
      <c r="I133" s="7" t="inlineStr">
        <is>
          <t>Macedonia</t>
        </is>
      </c>
      <c r="J133" s="35" t="n">
        <v>0</v>
      </c>
    </row>
    <row r="134">
      <c r="D134" s="13">
        <f>D133+1</f>
        <v/>
      </c>
      <c r="E134" s="19" t="inlineStr">
        <is>
          <t>Malawi</t>
        </is>
      </c>
      <c r="F134" s="21">
        <f t="array" ref="F134">SUMPRODUCT(ISNUMBER(SEARCH(E134,$A$4:$A$36))*$B$4:$B$36)</f>
        <v/>
      </c>
      <c r="I134" s="7" t="inlineStr">
        <is>
          <t>Madagascar</t>
        </is>
      </c>
      <c r="J134" s="35" t="n">
        <v>0</v>
      </c>
    </row>
    <row r="135">
      <c r="D135" s="13">
        <f>D134+1</f>
        <v/>
      </c>
      <c r="E135" s="19" t="inlineStr">
        <is>
          <t>Malaysia</t>
        </is>
      </c>
      <c r="F135" s="21">
        <f t="array" ref="F135">SUMPRODUCT(ISNUMBER(SEARCH(E135,$A$4:$A$36))*$B$4:$B$36)</f>
        <v/>
      </c>
      <c r="I135" s="7" t="inlineStr">
        <is>
          <t>Malawi</t>
        </is>
      </c>
      <c r="J135" s="35" t="n">
        <v>0</v>
      </c>
    </row>
    <row r="136">
      <c r="D136" s="13">
        <f>D135+1</f>
        <v/>
      </c>
      <c r="E136" s="19" t="inlineStr">
        <is>
          <t>Maldives</t>
        </is>
      </c>
      <c r="F136" s="21">
        <f t="array" ref="F136">SUMPRODUCT(ISNUMBER(SEARCH(E136,$A$4:$A$36))*$B$4:$B$36)</f>
        <v/>
      </c>
      <c r="I136" s="7" t="inlineStr">
        <is>
          <t>Malaysia</t>
        </is>
      </c>
      <c r="J136" s="35" t="n">
        <v>0</v>
      </c>
    </row>
    <row r="137">
      <c r="D137" s="13">
        <f>D136+1</f>
        <v/>
      </c>
      <c r="E137" s="19" t="inlineStr">
        <is>
          <t>Mali</t>
        </is>
      </c>
      <c r="F137" s="21">
        <f t="array" ref="F137">SUMPRODUCT(ISNUMBER(SEARCH(E137,$A$4:$A$36))*$B$4:$B$36)</f>
        <v/>
      </c>
      <c r="I137" s="7" t="inlineStr">
        <is>
          <t>Maldives</t>
        </is>
      </c>
      <c r="J137" s="35" t="n">
        <v>0</v>
      </c>
    </row>
    <row r="138">
      <c r="D138" s="13">
        <f>D137+1</f>
        <v/>
      </c>
      <c r="E138" s="19" t="inlineStr">
        <is>
          <t>Malta</t>
        </is>
      </c>
      <c r="F138" s="21">
        <f t="array" ref="F138">SUMPRODUCT(ISNUMBER(SEARCH(E138,$A$4:$A$36))*$B$4:$B$36)</f>
        <v/>
      </c>
      <c r="I138" s="7" t="inlineStr">
        <is>
          <t>Mali</t>
        </is>
      </c>
      <c r="J138" s="35" t="n">
        <v>0</v>
      </c>
    </row>
    <row r="139">
      <c r="D139" s="13">
        <f>D138+1</f>
        <v/>
      </c>
      <c r="E139" s="19" t="inlineStr">
        <is>
          <t>Marshall Islands</t>
        </is>
      </c>
      <c r="F139" s="21">
        <f t="array" ref="F139">SUMPRODUCT(ISNUMBER(SEARCH(E139,$A$4:$A$36))*$B$4:$B$36)</f>
        <v/>
      </c>
      <c r="I139" s="7" t="inlineStr">
        <is>
          <t>Malta</t>
        </is>
      </c>
      <c r="J139" s="35" t="n">
        <v>0</v>
      </c>
    </row>
    <row r="140">
      <c r="D140" s="13">
        <f>D139+1</f>
        <v/>
      </c>
      <c r="E140" s="19" t="inlineStr">
        <is>
          <t>Martinique</t>
        </is>
      </c>
      <c r="F140" s="21">
        <f t="array" ref="F140">SUMPRODUCT(ISNUMBER(SEARCH(E140,$A$4:$A$36))*$B$4:$B$36)</f>
        <v/>
      </c>
      <c r="I140" s="7" t="inlineStr">
        <is>
          <t>Marshall Islands</t>
        </is>
      </c>
      <c r="J140" s="35" t="n">
        <v>0</v>
      </c>
    </row>
    <row r="141">
      <c r="D141" s="13">
        <f>D140+1</f>
        <v/>
      </c>
      <c r="E141" s="19" t="inlineStr">
        <is>
          <t>Mauritania</t>
        </is>
      </c>
      <c r="F141" s="21">
        <f t="array" ref="F141">SUMPRODUCT(ISNUMBER(SEARCH(E141,$A$4:$A$36))*$B$4:$B$36)</f>
        <v/>
      </c>
      <c r="I141" s="7" t="inlineStr">
        <is>
          <t>Martinique</t>
        </is>
      </c>
      <c r="J141" s="35" t="n">
        <v>0</v>
      </c>
    </row>
    <row r="142">
      <c r="D142" s="13">
        <f>D141+1</f>
        <v/>
      </c>
      <c r="E142" s="19" t="inlineStr">
        <is>
          <t>Mauritius</t>
        </is>
      </c>
      <c r="F142" s="21">
        <f t="array" ref="F142">SUMPRODUCT(ISNUMBER(SEARCH(E142,$A$4:$A$36))*$B$4:$B$36)</f>
        <v/>
      </c>
      <c r="I142" s="7" t="inlineStr">
        <is>
          <t>Mauritania</t>
        </is>
      </c>
      <c r="J142" s="35" t="n">
        <v>0</v>
      </c>
    </row>
    <row r="143">
      <c r="D143" s="13">
        <f>D142+1</f>
        <v/>
      </c>
      <c r="E143" s="19" t="inlineStr">
        <is>
          <t>Mayotte</t>
        </is>
      </c>
      <c r="F143" s="21">
        <f t="array" ref="F143">SUMPRODUCT(ISNUMBER(SEARCH(E143,$A$4:$A$36))*$B$4:$B$36)</f>
        <v/>
      </c>
      <c r="I143" s="7" t="inlineStr">
        <is>
          <t>Mauritius</t>
        </is>
      </c>
      <c r="J143" s="35" t="n">
        <v>0</v>
      </c>
    </row>
    <row r="144">
      <c r="D144" s="13">
        <f>D143+1</f>
        <v/>
      </c>
      <c r="E144" s="19" t="inlineStr">
        <is>
          <t>Mexico</t>
        </is>
      </c>
      <c r="F144" s="21">
        <f t="array" ref="F144">SUMPRODUCT(ISNUMBER(SEARCH(E144,$A$4:$A$36))*$B$4:$B$36)</f>
        <v/>
      </c>
      <c r="I144" s="7" t="inlineStr">
        <is>
          <t>Mayotte</t>
        </is>
      </c>
      <c r="J144" s="35" t="n">
        <v>0</v>
      </c>
    </row>
    <row r="145">
      <c r="D145" s="13">
        <f>D144+1</f>
        <v/>
      </c>
      <c r="E145" s="19" t="inlineStr">
        <is>
          <t>Micronesia, Federated States Of</t>
        </is>
      </c>
      <c r="F145" s="21">
        <f t="array" ref="F145">SUMPRODUCT(ISNUMBER(SEARCH(E145,$A$4:$A$36))*$B$4:$B$36)</f>
        <v/>
      </c>
      <c r="I145" s="7" t="inlineStr">
        <is>
          <t>Mexico</t>
        </is>
      </c>
      <c r="J145" s="35" t="n">
        <v>0</v>
      </c>
    </row>
    <row r="146">
      <c r="D146" s="13">
        <f>D145+1</f>
        <v/>
      </c>
      <c r="E146" s="19" t="inlineStr">
        <is>
          <t>Moldova, Republic Of</t>
        </is>
      </c>
      <c r="F146" s="21">
        <f t="array" ref="F146">SUMPRODUCT(ISNUMBER(SEARCH(E146,$A$4:$A$36))*$B$4:$B$36)</f>
        <v/>
      </c>
      <c r="I146" s="7" t="inlineStr">
        <is>
          <t>Micronesia, Federated States Of</t>
        </is>
      </c>
      <c r="J146" s="35" t="n">
        <v>0</v>
      </c>
    </row>
    <row r="147">
      <c r="D147" s="13">
        <f>D146+1</f>
        <v/>
      </c>
      <c r="E147" s="19" t="inlineStr">
        <is>
          <t>Monaco</t>
        </is>
      </c>
      <c r="F147" s="21">
        <f t="array" ref="F147">SUMPRODUCT(ISNUMBER(SEARCH(E147,$A$4:$A$36))*$B$4:$B$36)</f>
        <v/>
      </c>
      <c r="I147" s="7" t="inlineStr">
        <is>
          <t>Moldova, Republic Of</t>
        </is>
      </c>
      <c r="J147" s="35" t="n">
        <v>0</v>
      </c>
    </row>
    <row r="148">
      <c r="D148" s="13">
        <f>D147+1</f>
        <v/>
      </c>
      <c r="E148" s="19" t="inlineStr">
        <is>
          <t>Mongolia</t>
        </is>
      </c>
      <c r="F148" s="21">
        <f t="array" ref="F148">SUMPRODUCT(ISNUMBER(SEARCH(E148,$A$4:$A$36))*$B$4:$B$36)</f>
        <v/>
      </c>
      <c r="I148" s="7" t="inlineStr">
        <is>
          <t>Monaco</t>
        </is>
      </c>
      <c r="J148" s="35" t="n">
        <v>0</v>
      </c>
    </row>
    <row r="149">
      <c r="D149" s="13">
        <f>D148+1</f>
        <v/>
      </c>
      <c r="E149" s="19" t="inlineStr">
        <is>
          <t>Montenegro</t>
        </is>
      </c>
      <c r="F149" s="21">
        <f t="array" ref="F149">SUMPRODUCT(ISNUMBER(SEARCH(E149,$A$4:$A$36))*$B$4:$B$36)</f>
        <v/>
      </c>
      <c r="I149" s="7" t="inlineStr">
        <is>
          <t>Mongolia</t>
        </is>
      </c>
      <c r="J149" s="35" t="n">
        <v>0</v>
      </c>
    </row>
    <row r="150">
      <c r="D150" s="13">
        <f>D149+1</f>
        <v/>
      </c>
      <c r="E150" s="19" t="inlineStr">
        <is>
          <t>Montserrat</t>
        </is>
      </c>
      <c r="F150" s="21">
        <f t="array" ref="F150">SUMPRODUCT(ISNUMBER(SEARCH(E150,$A$4:$A$36))*$B$4:$B$36)</f>
        <v/>
      </c>
      <c r="I150" s="7" t="inlineStr">
        <is>
          <t>Montenegro</t>
        </is>
      </c>
      <c r="J150" s="35" t="n">
        <v>0</v>
      </c>
    </row>
    <row r="151">
      <c r="D151" s="13">
        <f>D150+1</f>
        <v/>
      </c>
      <c r="E151" s="19" t="inlineStr">
        <is>
          <t>Morocco</t>
        </is>
      </c>
      <c r="F151" s="21">
        <f t="array" ref="F151">SUMPRODUCT(ISNUMBER(SEARCH(E151,$A$4:$A$36))*$B$4:$B$36)</f>
        <v/>
      </c>
      <c r="I151" s="7" t="inlineStr">
        <is>
          <t>Montserrat</t>
        </is>
      </c>
      <c r="J151" s="35" t="n">
        <v>0</v>
      </c>
    </row>
    <row r="152">
      <c r="D152" s="13">
        <f>D151+1</f>
        <v/>
      </c>
      <c r="E152" s="19" t="inlineStr">
        <is>
          <t>Mozambique</t>
        </is>
      </c>
      <c r="F152" s="21">
        <f t="array" ref="F152">SUMPRODUCT(ISNUMBER(SEARCH(E152,$A$4:$A$36))*$B$4:$B$36)</f>
        <v/>
      </c>
      <c r="I152" s="7" t="inlineStr">
        <is>
          <t>Morocco</t>
        </is>
      </c>
      <c r="J152" s="35" t="n">
        <v>0</v>
      </c>
    </row>
    <row r="153">
      <c r="D153" s="13">
        <f>D152+1</f>
        <v/>
      </c>
      <c r="E153" s="19" t="inlineStr">
        <is>
          <t xml:space="preserve">Myanmar (Burma) </t>
        </is>
      </c>
      <c r="F153" s="21">
        <f t="array" ref="F153">SUMPRODUCT(ISNUMBER(SEARCH(E153,$A$4:$A$36))*$B$4:$B$36)</f>
        <v/>
      </c>
      <c r="I153" s="7" t="inlineStr">
        <is>
          <t>Mozambique</t>
        </is>
      </c>
      <c r="J153" s="35" t="n">
        <v>0</v>
      </c>
    </row>
    <row r="154">
      <c r="D154" s="13">
        <f>D153+1</f>
        <v/>
      </c>
      <c r="E154" s="19" t="inlineStr">
        <is>
          <t>Namibia</t>
        </is>
      </c>
      <c r="F154" s="21">
        <f t="array" ref="F154">SUMPRODUCT(ISNUMBER(SEARCH(E154,$A$4:$A$36))*$B$4:$B$36)</f>
        <v/>
      </c>
      <c r="I154" s="7" t="inlineStr">
        <is>
          <t xml:space="preserve">Myanmar (Burma) </t>
        </is>
      </c>
      <c r="J154" s="35" t="n">
        <v>0</v>
      </c>
    </row>
    <row r="155">
      <c r="D155" s="13">
        <f>D154+1</f>
        <v/>
      </c>
      <c r="E155" s="19" t="inlineStr">
        <is>
          <t>Nauru</t>
        </is>
      </c>
      <c r="F155" s="21">
        <f t="array" ref="F155">SUMPRODUCT(ISNUMBER(SEARCH(E155,$A$4:$A$36))*$B$4:$B$36)</f>
        <v/>
      </c>
      <c r="I155" s="7" t="inlineStr">
        <is>
          <t>Namibia</t>
        </is>
      </c>
      <c r="J155" s="35" t="n">
        <v>0</v>
      </c>
    </row>
    <row r="156">
      <c r="D156" s="13">
        <f>D155+1</f>
        <v/>
      </c>
      <c r="E156" s="19" t="inlineStr">
        <is>
          <t>Nepal</t>
        </is>
      </c>
      <c r="F156" s="21">
        <f t="array" ref="F156">SUMPRODUCT(ISNUMBER(SEARCH(E156,$A$4:$A$36))*$B$4:$B$36)</f>
        <v/>
      </c>
      <c r="I156" s="7" t="inlineStr">
        <is>
          <t>Nauru</t>
        </is>
      </c>
      <c r="J156" s="35" t="n">
        <v>0</v>
      </c>
    </row>
    <row r="157">
      <c r="D157" s="13">
        <f>D156+1</f>
        <v/>
      </c>
      <c r="E157" s="19" t="inlineStr">
        <is>
          <t>Netherlands</t>
        </is>
      </c>
      <c r="F157" s="21">
        <f t="array" ref="F157">SUMPRODUCT(ISNUMBER(SEARCH(E157,$A$4:$A$36))*$B$4:$B$36)</f>
        <v/>
      </c>
      <c r="I157" s="7" t="inlineStr">
        <is>
          <t>Nepal</t>
        </is>
      </c>
      <c r="J157" s="35" t="n">
        <v>0</v>
      </c>
    </row>
    <row r="158">
      <c r="D158" s="13">
        <f>D157+1</f>
        <v/>
      </c>
      <c r="E158" s="19" t="inlineStr">
        <is>
          <t>Netherlands Antilles</t>
        </is>
      </c>
      <c r="F158" s="21">
        <f t="array" ref="F158">SUMPRODUCT(ISNUMBER(SEARCH(E158,$A$4:$A$36))*$B$4:$B$36)</f>
        <v/>
      </c>
      <c r="I158" s="7" t="inlineStr">
        <is>
          <t>Netherlands</t>
        </is>
      </c>
      <c r="J158" s="35" t="n">
        <v>0</v>
      </c>
    </row>
    <row r="159">
      <c r="D159" s="13">
        <f>D158+1</f>
        <v/>
      </c>
      <c r="E159" s="19" t="inlineStr">
        <is>
          <t>New Caledonia</t>
        </is>
      </c>
      <c r="F159" s="21">
        <f t="array" ref="F159">SUMPRODUCT(ISNUMBER(SEARCH(E159,$A$4:$A$36))*$B$4:$B$36)</f>
        <v/>
      </c>
      <c r="I159" s="7" t="inlineStr">
        <is>
          <t>Netherlands Antilles</t>
        </is>
      </c>
      <c r="J159" s="35" t="n">
        <v>0</v>
      </c>
    </row>
    <row r="160">
      <c r="D160" s="13">
        <f>D159+1</f>
        <v/>
      </c>
      <c r="E160" s="19" t="inlineStr">
        <is>
          <t>New Zealand</t>
        </is>
      </c>
      <c r="F160" s="21">
        <f t="array" ref="F160">SUMPRODUCT(ISNUMBER(SEARCH(E160,$A$4:$A$36))*$B$4:$B$36)</f>
        <v/>
      </c>
      <c r="I160" s="7" t="inlineStr">
        <is>
          <t>New Caledonia</t>
        </is>
      </c>
      <c r="J160" s="35" t="n">
        <v>0</v>
      </c>
    </row>
    <row r="161">
      <c r="D161" s="13">
        <f>D160+1</f>
        <v/>
      </c>
      <c r="E161" s="19" t="inlineStr">
        <is>
          <t>Nicaragua</t>
        </is>
      </c>
      <c r="F161" s="21">
        <f t="array" ref="F161">SUMPRODUCT(ISNUMBER(SEARCH(E161,$A$4:$A$36))*$B$4:$B$36)</f>
        <v/>
      </c>
      <c r="I161" s="7" t="inlineStr">
        <is>
          <t>New Zealand</t>
        </is>
      </c>
      <c r="J161" s="35" t="n">
        <v>0</v>
      </c>
    </row>
    <row r="162">
      <c r="D162" s="13">
        <f>D161+1</f>
        <v/>
      </c>
      <c r="E162" s="19" t="inlineStr">
        <is>
          <t>Niger</t>
        </is>
      </c>
      <c r="F162" s="21">
        <f t="array" ref="F162">SUMPRODUCT(ISNUMBER(SEARCH(E162,$A$4:$A$36))*$B$4:$B$36)</f>
        <v/>
      </c>
      <c r="I162" s="7" t="inlineStr">
        <is>
          <t>Nicaragua</t>
        </is>
      </c>
      <c r="J162" s="35" t="n">
        <v>0</v>
      </c>
    </row>
    <row r="163">
      <c r="D163" s="13">
        <f>D162+1</f>
        <v/>
      </c>
      <c r="E163" s="19" t="inlineStr">
        <is>
          <t>Nigeria</t>
        </is>
      </c>
      <c r="F163" s="21">
        <f t="array" ref="F163">SUMPRODUCT(ISNUMBER(SEARCH(E163,$A$4:$A$36))*$B$4:$B$36)</f>
        <v/>
      </c>
      <c r="I163" s="7" t="inlineStr">
        <is>
          <t>Niger</t>
        </is>
      </c>
      <c r="J163" s="35" t="n">
        <v>0</v>
      </c>
    </row>
    <row r="164">
      <c r="D164" s="13">
        <f>D163+1</f>
        <v/>
      </c>
      <c r="E164" s="19" t="inlineStr">
        <is>
          <t>Niue</t>
        </is>
      </c>
      <c r="F164" s="21">
        <f t="array" ref="F164">SUMPRODUCT(ISNUMBER(SEARCH(E164,$A$4:$A$36))*$B$4:$B$36)</f>
        <v/>
      </c>
      <c r="I164" s="7" t="inlineStr">
        <is>
          <t>Nigeria</t>
        </is>
      </c>
      <c r="J164" s="35" t="n">
        <v>0</v>
      </c>
    </row>
    <row r="165">
      <c r="D165" s="13">
        <f>D164+1</f>
        <v/>
      </c>
      <c r="E165" s="19" t="inlineStr">
        <is>
          <t>Norfolk Island</t>
        </is>
      </c>
      <c r="F165" s="21">
        <f t="array" ref="F165">SUMPRODUCT(ISNUMBER(SEARCH(E165,$A$4:$A$36))*$B$4:$B$36)</f>
        <v/>
      </c>
      <c r="I165" s="7" t="inlineStr">
        <is>
          <t>Niue</t>
        </is>
      </c>
      <c r="J165" s="35" t="n">
        <v>0</v>
      </c>
    </row>
    <row r="166">
      <c r="D166" s="13">
        <f>D165+1</f>
        <v/>
      </c>
      <c r="E166" s="19" t="inlineStr">
        <is>
          <t>Northern Mariana Islands</t>
        </is>
      </c>
      <c r="F166" s="21">
        <f t="array" ref="F166">SUMPRODUCT(ISNUMBER(SEARCH(E166,$A$4:$A$36))*$B$4:$B$36)</f>
        <v/>
      </c>
      <c r="I166" s="7" t="inlineStr">
        <is>
          <t>Norfolk Island</t>
        </is>
      </c>
      <c r="J166" s="35" t="n">
        <v>0</v>
      </c>
    </row>
    <row r="167">
      <c r="D167" s="13">
        <f>D166+1</f>
        <v/>
      </c>
      <c r="E167" s="19" t="inlineStr">
        <is>
          <t>Norway</t>
        </is>
      </c>
      <c r="F167" s="21">
        <f t="array" ref="F167">SUMPRODUCT(ISNUMBER(SEARCH(E167,$A$4:$A$36))*$B$4:$B$36)</f>
        <v/>
      </c>
      <c r="I167" s="7" t="inlineStr">
        <is>
          <t>Northern Mariana Islands</t>
        </is>
      </c>
      <c r="J167" s="35" t="n">
        <v>0</v>
      </c>
    </row>
    <row r="168">
      <c r="D168" s="13">
        <f>D167+1</f>
        <v/>
      </c>
      <c r="E168" s="19" t="inlineStr">
        <is>
          <t>Oman</t>
        </is>
      </c>
      <c r="F168" s="21">
        <f t="array" ref="F168">SUMPRODUCT(ISNUMBER(SEARCH(E168,$A$4:$A$36))*$B$4:$B$36)</f>
        <v/>
      </c>
      <c r="I168" s="7" t="inlineStr">
        <is>
          <t>Norway</t>
        </is>
      </c>
      <c r="J168" s="35" t="n">
        <v>0</v>
      </c>
    </row>
    <row r="169">
      <c r="D169" s="13">
        <f>D168+1</f>
        <v/>
      </c>
      <c r="E169" s="19" t="inlineStr">
        <is>
          <t>Pakistan</t>
        </is>
      </c>
      <c r="F169" s="21">
        <f t="array" ref="F169">SUMPRODUCT(ISNUMBER(SEARCH(E169,$A$4:$A$36))*$B$4:$B$36)</f>
        <v/>
      </c>
      <c r="I169" s="7" t="inlineStr">
        <is>
          <t>Oman</t>
        </is>
      </c>
      <c r="J169" s="35" t="n">
        <v>0</v>
      </c>
    </row>
    <row r="170">
      <c r="D170" s="13">
        <f>D169+1</f>
        <v/>
      </c>
      <c r="E170" s="19" t="inlineStr">
        <is>
          <t>Palau</t>
        </is>
      </c>
      <c r="F170" s="21">
        <f t="array" ref="F170">SUMPRODUCT(ISNUMBER(SEARCH(E170,$A$4:$A$36))*$B$4:$B$36)</f>
        <v/>
      </c>
      <c r="I170" s="7" t="inlineStr">
        <is>
          <t>Pakistan</t>
        </is>
      </c>
      <c r="J170" s="35" t="n">
        <v>0</v>
      </c>
    </row>
    <row r="171">
      <c r="D171" s="13">
        <f>D170+1</f>
        <v/>
      </c>
      <c r="E171" s="19" t="inlineStr">
        <is>
          <t>Panama</t>
        </is>
      </c>
      <c r="F171" s="21">
        <f t="array" ref="F171">SUMPRODUCT(ISNUMBER(SEARCH(E171,$A$4:$A$36))*$B$4:$B$36)</f>
        <v/>
      </c>
      <c r="I171" s="7" t="inlineStr">
        <is>
          <t>Palau</t>
        </is>
      </c>
      <c r="J171" s="35" t="n">
        <v>0</v>
      </c>
    </row>
    <row r="172">
      <c r="D172" s="13">
        <f>D171+1</f>
        <v/>
      </c>
      <c r="E172" s="19" t="inlineStr">
        <is>
          <t>Papua New Guinea</t>
        </is>
      </c>
      <c r="F172" s="21">
        <f t="array" ref="F172">SUMPRODUCT(ISNUMBER(SEARCH(E172,$A$4:$A$36))*$B$4:$B$36)</f>
        <v/>
      </c>
      <c r="I172" s="7" t="inlineStr">
        <is>
          <t>Panama</t>
        </is>
      </c>
      <c r="J172" s="35" t="n">
        <v>0</v>
      </c>
    </row>
    <row r="173">
      <c r="D173" s="13">
        <f>D172+1</f>
        <v/>
      </c>
      <c r="E173" s="19" t="inlineStr">
        <is>
          <t>Paraguay</t>
        </is>
      </c>
      <c r="F173" s="21">
        <f t="array" ref="F173">SUMPRODUCT(ISNUMBER(SEARCH(E173,$A$4:$A$36))*$B$4:$B$36)</f>
        <v/>
      </c>
      <c r="I173" s="7" t="inlineStr">
        <is>
          <t>Papua New Guinea</t>
        </is>
      </c>
      <c r="J173" s="35" t="n">
        <v>0</v>
      </c>
    </row>
    <row r="174">
      <c r="D174" s="13">
        <f>D173+1</f>
        <v/>
      </c>
      <c r="E174" s="19" t="inlineStr">
        <is>
          <t>Peru</t>
        </is>
      </c>
      <c r="F174" s="21">
        <f t="array" ref="F174">SUMPRODUCT(ISNUMBER(SEARCH(E174,$A$4:$A$36))*$B$4:$B$36)</f>
        <v/>
      </c>
      <c r="I174" s="7" t="inlineStr">
        <is>
          <t>Paraguay</t>
        </is>
      </c>
      <c r="J174" s="35" t="n">
        <v>0</v>
      </c>
    </row>
    <row r="175">
      <c r="D175" s="13">
        <f>D174+1</f>
        <v/>
      </c>
      <c r="E175" s="19" t="inlineStr">
        <is>
          <t>Philippines</t>
        </is>
      </c>
      <c r="F175" s="21">
        <f t="array" ref="F175">SUMPRODUCT(ISNUMBER(SEARCH(E175,$A$4:$A$36))*$B$4:$B$36)</f>
        <v/>
      </c>
      <c r="I175" s="7" t="inlineStr">
        <is>
          <t>Peru</t>
        </is>
      </c>
      <c r="J175" s="35" t="n">
        <v>0</v>
      </c>
    </row>
    <row r="176">
      <c r="D176" s="13">
        <f>D175+1</f>
        <v/>
      </c>
      <c r="E176" s="19" t="inlineStr">
        <is>
          <t>Pitcairn</t>
        </is>
      </c>
      <c r="F176" s="21">
        <f t="array" ref="F176">SUMPRODUCT(ISNUMBER(SEARCH(E176,$A$4:$A$36))*$B$4:$B$36)</f>
        <v/>
      </c>
      <c r="I176" s="7" t="inlineStr">
        <is>
          <t>Philippines</t>
        </is>
      </c>
      <c r="J176" s="35" t="n">
        <v>0</v>
      </c>
    </row>
    <row r="177">
      <c r="D177" s="13">
        <f>D176+1</f>
        <v/>
      </c>
      <c r="E177" s="19" t="inlineStr">
        <is>
          <t>Poland</t>
        </is>
      </c>
      <c r="F177" s="21">
        <f t="array" ref="F177">SUMPRODUCT(ISNUMBER(SEARCH(E177,$A$4:$A$36))*$B$4:$B$36)</f>
        <v/>
      </c>
      <c r="I177" s="7" t="inlineStr">
        <is>
          <t>Pitcairn</t>
        </is>
      </c>
      <c r="J177" s="35" t="n">
        <v>0</v>
      </c>
    </row>
    <row r="178">
      <c r="D178" s="13">
        <f>D177+1</f>
        <v/>
      </c>
      <c r="E178" s="19" t="inlineStr">
        <is>
          <t>Portugal</t>
        </is>
      </c>
      <c r="F178" s="21">
        <f t="array" ref="F178">SUMPRODUCT(ISNUMBER(SEARCH(E178,$A$4:$A$36))*$B$4:$B$36)</f>
        <v/>
      </c>
      <c r="I178" s="7" t="inlineStr">
        <is>
          <t>Poland</t>
        </is>
      </c>
      <c r="J178" s="35" t="n">
        <v>0</v>
      </c>
    </row>
    <row r="179">
      <c r="D179" s="13">
        <f>D178+1</f>
        <v/>
      </c>
      <c r="E179" s="19" t="inlineStr">
        <is>
          <t>Puerto Rico</t>
        </is>
      </c>
      <c r="F179" s="21">
        <f t="array" ref="F179">SUMPRODUCT(ISNUMBER(SEARCH(E179,$A$4:$A$36))*$B$4:$B$36)</f>
        <v/>
      </c>
      <c r="I179" s="7" t="inlineStr">
        <is>
          <t>Portugal</t>
        </is>
      </c>
      <c r="J179" s="35" t="n">
        <v>0</v>
      </c>
    </row>
    <row r="180">
      <c r="D180" s="13">
        <f>D179+1</f>
        <v/>
      </c>
      <c r="E180" s="19" t="inlineStr">
        <is>
          <t>Qatar</t>
        </is>
      </c>
      <c r="F180" s="21">
        <f t="array" ref="F180">SUMPRODUCT(ISNUMBER(SEARCH(E180,$A$4:$A$36))*$B$4:$B$36)</f>
        <v/>
      </c>
      <c r="I180" s="7" t="inlineStr">
        <is>
          <t>Puerto Rico</t>
        </is>
      </c>
      <c r="J180" s="35" t="n">
        <v>0</v>
      </c>
    </row>
    <row r="181">
      <c r="D181" s="13">
        <f>D180+1</f>
        <v/>
      </c>
      <c r="E181" s="19" t="inlineStr">
        <is>
          <t>Reunion</t>
        </is>
      </c>
      <c r="F181" s="21">
        <f t="array" ref="F181">SUMPRODUCT(ISNUMBER(SEARCH(E181,$A$4:$A$36))*$B$4:$B$36)</f>
        <v/>
      </c>
      <c r="I181" s="7" t="inlineStr">
        <is>
          <t>Qatar</t>
        </is>
      </c>
      <c r="J181" s="35" t="n">
        <v>0</v>
      </c>
    </row>
    <row r="182">
      <c r="D182" s="13">
        <f>D181+1</f>
        <v/>
      </c>
      <c r="E182" s="19" t="inlineStr">
        <is>
          <t>Romania</t>
        </is>
      </c>
      <c r="F182" s="21">
        <f t="array" ref="F182">SUMPRODUCT(ISNUMBER(SEARCH(E182,$A$4:$A$36))*$B$4:$B$36)</f>
        <v/>
      </c>
      <c r="I182" s="7" t="inlineStr">
        <is>
          <t>Reunion</t>
        </is>
      </c>
      <c r="J182" s="35" t="n">
        <v>0</v>
      </c>
    </row>
    <row r="183">
      <c r="D183" s="13">
        <f>D182+1</f>
        <v/>
      </c>
      <c r="E183" s="19" t="inlineStr">
        <is>
          <t>Russian Federation</t>
        </is>
      </c>
      <c r="F183" s="21">
        <f t="array" ref="F183">SUMPRODUCT(ISNUMBER(SEARCH(E183,$A$4:$A$36))*$B$4:$B$36)</f>
        <v/>
      </c>
      <c r="I183" s="7" t="inlineStr">
        <is>
          <t>Romania</t>
        </is>
      </c>
      <c r="J183" s="35" t="n">
        <v>0</v>
      </c>
    </row>
    <row r="184">
      <c r="D184" s="13">
        <f>D183+1</f>
        <v/>
      </c>
      <c r="E184" s="19" t="inlineStr">
        <is>
          <t>Rwanda</t>
        </is>
      </c>
      <c r="F184" s="21">
        <f t="array" ref="F184">SUMPRODUCT(ISNUMBER(SEARCH(E184,$A$4:$A$36))*$B$4:$B$36)</f>
        <v/>
      </c>
      <c r="I184" s="7" t="inlineStr">
        <is>
          <t>Russian Federation</t>
        </is>
      </c>
      <c r="J184" s="35" t="n">
        <v>0</v>
      </c>
    </row>
    <row r="185">
      <c r="D185" s="13">
        <f>D184+1</f>
        <v/>
      </c>
      <c r="E185" s="19" t="inlineStr">
        <is>
          <t>Saint Kitts And Nevis</t>
        </is>
      </c>
      <c r="F185" s="21">
        <f t="array" ref="F185">SUMPRODUCT(ISNUMBER(SEARCH(E185,$A$4:$A$36))*$B$4:$B$36)</f>
        <v/>
      </c>
      <c r="I185" s="7" t="inlineStr">
        <is>
          <t>Rwanda</t>
        </is>
      </c>
      <c r="J185" s="35" t="n">
        <v>0</v>
      </c>
    </row>
    <row r="186">
      <c r="D186" s="13">
        <f>D185+1</f>
        <v/>
      </c>
      <c r="E186" s="19" t="inlineStr">
        <is>
          <t>Saint Lucia</t>
        </is>
      </c>
      <c r="F186" s="21">
        <f t="array" ref="F186">SUMPRODUCT(ISNUMBER(SEARCH(E186,$A$4:$A$36))*$B$4:$B$36)</f>
        <v/>
      </c>
      <c r="I186" s="7" t="inlineStr">
        <is>
          <t>Saint Kitts And Nevis</t>
        </is>
      </c>
      <c r="J186" s="35" t="n">
        <v>0</v>
      </c>
    </row>
    <row r="187">
      <c r="D187" s="13">
        <f>D186+1</f>
        <v/>
      </c>
      <c r="E187" s="19" t="inlineStr">
        <is>
          <t>Saint Vincent And The Grenadines</t>
        </is>
      </c>
      <c r="F187" s="21">
        <f t="array" ref="F187">SUMPRODUCT(ISNUMBER(SEARCH(E187,$A$4:$A$36))*$B$4:$B$36)</f>
        <v/>
      </c>
      <c r="I187" s="7" t="inlineStr">
        <is>
          <t>Saint Lucia</t>
        </is>
      </c>
      <c r="J187" s="35" t="n">
        <v>0</v>
      </c>
    </row>
    <row r="188">
      <c r="D188" s="13">
        <f>D187+1</f>
        <v/>
      </c>
      <c r="E188" s="19" t="inlineStr">
        <is>
          <t>Samoa</t>
        </is>
      </c>
      <c r="F188" s="21">
        <f t="array" ref="F188">SUMPRODUCT(ISNUMBER(SEARCH(E188,$A$4:$A$36))*$B$4:$B$36)</f>
        <v/>
      </c>
      <c r="I188" s="7" t="inlineStr">
        <is>
          <t>Saint Vincent And The Grenadines</t>
        </is>
      </c>
      <c r="J188" s="35" t="n">
        <v>0</v>
      </c>
    </row>
    <row r="189">
      <c r="D189" s="13">
        <f>D188+1</f>
        <v/>
      </c>
      <c r="E189" s="19" t="inlineStr">
        <is>
          <t>San Marino</t>
        </is>
      </c>
      <c r="F189" s="21">
        <f t="array" ref="F189">SUMPRODUCT(ISNUMBER(SEARCH(E189,$A$4:$A$36))*$B$4:$B$36)</f>
        <v/>
      </c>
      <c r="I189" s="7" t="inlineStr">
        <is>
          <t>Samoa</t>
        </is>
      </c>
      <c r="J189" s="35" t="n">
        <v>0</v>
      </c>
    </row>
    <row r="190">
      <c r="D190" s="13">
        <f>D189+1</f>
        <v/>
      </c>
      <c r="E190" s="19" t="inlineStr">
        <is>
          <t>Sao Tome And Principe</t>
        </is>
      </c>
      <c r="F190" s="21">
        <f t="array" ref="F190">SUMPRODUCT(ISNUMBER(SEARCH(E190,$A$4:$A$36))*$B$4:$B$36)</f>
        <v/>
      </c>
      <c r="I190" s="7" t="inlineStr">
        <is>
          <t>San Marino</t>
        </is>
      </c>
      <c r="J190" s="35" t="n">
        <v>0</v>
      </c>
    </row>
    <row r="191">
      <c r="D191" s="13">
        <f>D190+1</f>
        <v/>
      </c>
      <c r="E191" s="19" t="inlineStr">
        <is>
          <t>Saudi Arabia</t>
        </is>
      </c>
      <c r="F191" s="21">
        <f t="array" ref="F191">SUMPRODUCT(ISNUMBER(SEARCH(E191,$A$4:$A$36))*$B$4:$B$36)</f>
        <v/>
      </c>
      <c r="I191" s="7" t="inlineStr">
        <is>
          <t>Sao Tome And Principe</t>
        </is>
      </c>
      <c r="J191" s="35" t="n">
        <v>0</v>
      </c>
    </row>
    <row r="192">
      <c r="D192" s="13">
        <f>D191+1</f>
        <v/>
      </c>
      <c r="E192" s="19" t="inlineStr">
        <is>
          <t>Senegal</t>
        </is>
      </c>
      <c r="F192" s="21">
        <f t="array" ref="F192">SUMPRODUCT(ISNUMBER(SEARCH(E192,$A$4:$A$36))*$B$4:$B$36)</f>
        <v/>
      </c>
      <c r="I192" s="7" t="inlineStr">
        <is>
          <t>Saudi Arabia</t>
        </is>
      </c>
      <c r="J192" s="35" t="n">
        <v>0</v>
      </c>
    </row>
    <row r="193">
      <c r="D193" s="13">
        <f>D192+1</f>
        <v/>
      </c>
      <c r="E193" s="19" t="inlineStr">
        <is>
          <t>Seychelles</t>
        </is>
      </c>
      <c r="F193" s="21">
        <f t="array" ref="F193">SUMPRODUCT(ISNUMBER(SEARCH(E193,$A$4:$A$36))*$B$4:$B$36)</f>
        <v/>
      </c>
      <c r="I193" s="7" t="inlineStr">
        <is>
          <t>Senegal</t>
        </is>
      </c>
      <c r="J193" s="35" t="n">
        <v>0</v>
      </c>
    </row>
    <row r="194">
      <c r="D194" s="13">
        <f>D193+1</f>
        <v/>
      </c>
      <c r="E194" s="19" t="inlineStr">
        <is>
          <t>Sierra Leone</t>
        </is>
      </c>
      <c r="F194" s="21">
        <f t="array" ref="F194">SUMPRODUCT(ISNUMBER(SEARCH(E194,$A$4:$A$36))*$B$4:$B$36)</f>
        <v/>
      </c>
      <c r="I194" s="7" t="inlineStr">
        <is>
          <t>Seychelles</t>
        </is>
      </c>
      <c r="J194" s="35" t="n">
        <v>0</v>
      </c>
    </row>
    <row r="195">
      <c r="D195" s="13">
        <f>D194+1</f>
        <v/>
      </c>
      <c r="E195" s="19" t="inlineStr">
        <is>
          <t>Singapore</t>
        </is>
      </c>
      <c r="F195" s="21">
        <f t="array" ref="F195">SUMPRODUCT(ISNUMBER(SEARCH(E195,$A$4:$A$36))*$B$4:$B$36)</f>
        <v/>
      </c>
      <c r="I195" s="7" t="inlineStr">
        <is>
          <t>Sierra Leone</t>
        </is>
      </c>
      <c r="J195" s="35" t="n">
        <v>0</v>
      </c>
    </row>
    <row r="196">
      <c r="D196" s="13">
        <f>D195+1</f>
        <v/>
      </c>
      <c r="E196" s="19" t="inlineStr">
        <is>
          <t>Slovakia (Slovak Republic)</t>
        </is>
      </c>
      <c r="F196" s="21">
        <f t="array" ref="F196">SUMPRODUCT(ISNUMBER(SEARCH(E196,$A$4:$A$36))*$B$4:$B$36)</f>
        <v/>
      </c>
      <c r="I196" s="7" t="inlineStr">
        <is>
          <t>Singapore</t>
        </is>
      </c>
      <c r="J196" s="35" t="n">
        <v>0</v>
      </c>
    </row>
    <row r="197">
      <c r="D197" s="13">
        <f>D196+1</f>
        <v/>
      </c>
      <c r="E197" s="19" t="inlineStr">
        <is>
          <t>Slovenia</t>
        </is>
      </c>
      <c r="F197" s="21">
        <f t="array" ref="F197">SUMPRODUCT(ISNUMBER(SEARCH(E197,$A$4:$A$36))*$B$4:$B$36)</f>
        <v/>
      </c>
      <c r="I197" s="7" t="inlineStr">
        <is>
          <t>Slovakia (Slovak Republic)</t>
        </is>
      </c>
      <c r="J197" s="35" t="n">
        <v>0</v>
      </c>
    </row>
    <row r="198">
      <c r="D198" s="13">
        <f>D197+1</f>
        <v/>
      </c>
      <c r="E198" s="19" t="inlineStr">
        <is>
          <t>Solomon Islands</t>
        </is>
      </c>
      <c r="F198" s="21">
        <f t="array" ref="F198">SUMPRODUCT(ISNUMBER(SEARCH(E198,$A$4:$A$36))*$B$4:$B$36)</f>
        <v/>
      </c>
      <c r="I198" s="7" t="inlineStr">
        <is>
          <t>Slovenia</t>
        </is>
      </c>
      <c r="J198" s="35" t="n">
        <v>0</v>
      </c>
    </row>
    <row r="199">
      <c r="D199" s="13">
        <f>D198+1</f>
        <v/>
      </c>
      <c r="E199" s="19" t="inlineStr">
        <is>
          <t>Somalia</t>
        </is>
      </c>
      <c r="F199" s="21">
        <f t="array" ref="F199">SUMPRODUCT(ISNUMBER(SEARCH(E199,$A$4:$A$36))*$B$4:$B$36)</f>
        <v/>
      </c>
      <c r="I199" s="7" t="inlineStr">
        <is>
          <t>Solomon Islands</t>
        </is>
      </c>
      <c r="J199" s="35" t="n">
        <v>0</v>
      </c>
    </row>
    <row r="200">
      <c r="D200" s="13">
        <f>D199+1</f>
        <v/>
      </c>
      <c r="E200" s="19" t="inlineStr">
        <is>
          <t>South Africa</t>
        </is>
      </c>
      <c r="F200" s="21">
        <f t="array" ref="F200">SUMPRODUCT(ISNUMBER(SEARCH(E200,$A$4:$A$36))*$B$4:$B$36)</f>
        <v/>
      </c>
      <c r="I200" s="7" t="inlineStr">
        <is>
          <t>Somalia</t>
        </is>
      </c>
      <c r="J200" s="35" t="n">
        <v>0</v>
      </c>
    </row>
    <row r="201">
      <c r="D201" s="13">
        <f>D200+1</f>
        <v/>
      </c>
      <c r="E201" s="19" t="inlineStr">
        <is>
          <t>South Georgia And South S.S.</t>
        </is>
      </c>
      <c r="F201" s="21">
        <f t="array" ref="F201">SUMPRODUCT(ISNUMBER(SEARCH(E201,$A$4:$A$36))*$B$4:$B$36)</f>
        <v/>
      </c>
      <c r="I201" s="7" t="inlineStr">
        <is>
          <t>South Africa</t>
        </is>
      </c>
      <c r="J201" s="35" t="n">
        <v>0</v>
      </c>
    </row>
    <row r="202">
      <c r="D202" s="13">
        <f>D201+1</f>
        <v/>
      </c>
      <c r="E202" s="19" t="inlineStr">
        <is>
          <t>Spain</t>
        </is>
      </c>
      <c r="F202" s="21">
        <f t="array" ref="F202">SUMPRODUCT(ISNUMBER(SEARCH(E202,$A$4:$A$36))*$B$4:$B$36)</f>
        <v/>
      </c>
      <c r="I202" s="7" t="inlineStr">
        <is>
          <t>South Georgia And South S.S.</t>
        </is>
      </c>
      <c r="J202" s="35" t="n">
        <v>0</v>
      </c>
    </row>
    <row r="203">
      <c r="D203" s="13">
        <f>D202+1</f>
        <v/>
      </c>
      <c r="E203" s="19" t="inlineStr">
        <is>
          <t>Sri Lanka</t>
        </is>
      </c>
      <c r="F203" s="21">
        <f t="array" ref="F203">SUMPRODUCT(ISNUMBER(SEARCH(E203,$A$4:$A$36))*$B$4:$B$36)</f>
        <v/>
      </c>
      <c r="I203" s="7" t="inlineStr">
        <is>
          <t>Spain</t>
        </is>
      </c>
      <c r="J203" s="35" t="n">
        <v>0</v>
      </c>
    </row>
    <row r="204">
      <c r="D204" s="13">
        <f>D203+1</f>
        <v/>
      </c>
      <c r="E204" s="19" t="inlineStr">
        <is>
          <t>St. Helena</t>
        </is>
      </c>
      <c r="F204" s="21">
        <f t="array" ref="F204">SUMPRODUCT(ISNUMBER(SEARCH(E204,$A$4:$A$36))*$B$4:$B$36)</f>
        <v/>
      </c>
      <c r="I204" s="7" t="inlineStr">
        <is>
          <t>Sri Lanka</t>
        </is>
      </c>
      <c r="J204" s="35" t="n">
        <v>0</v>
      </c>
    </row>
    <row r="205">
      <c r="D205" s="13">
        <f>D204+1</f>
        <v/>
      </c>
      <c r="E205" s="19" t="inlineStr">
        <is>
          <t>St. Pierre And Miquelon</t>
        </is>
      </c>
      <c r="F205" s="21">
        <f t="array" ref="F205">SUMPRODUCT(ISNUMBER(SEARCH(E205,$A$4:$A$36))*$B$4:$B$36)</f>
        <v/>
      </c>
      <c r="I205" s="7" t="inlineStr">
        <is>
          <t>St. Helena</t>
        </is>
      </c>
      <c r="J205" s="35" t="n">
        <v>0</v>
      </c>
    </row>
    <row r="206">
      <c r="D206" s="13">
        <f>D205+1</f>
        <v/>
      </c>
      <c r="E206" s="19" t="inlineStr">
        <is>
          <t>Sudan</t>
        </is>
      </c>
      <c r="F206" s="21">
        <f t="array" ref="F206">SUMPRODUCT(ISNUMBER(SEARCH(E206,$A$4:$A$36))*$B$4:$B$36)</f>
        <v/>
      </c>
      <c r="I206" s="7" t="inlineStr">
        <is>
          <t>St. Pierre And Miquelon</t>
        </is>
      </c>
      <c r="J206" s="35" t="n">
        <v>0</v>
      </c>
    </row>
    <row r="207">
      <c r="D207" s="13">
        <f>D206+1</f>
        <v/>
      </c>
      <c r="E207" s="19" t="inlineStr">
        <is>
          <t>Suriname</t>
        </is>
      </c>
      <c r="F207" s="21">
        <f t="array" ref="F207">SUMPRODUCT(ISNUMBER(SEARCH(E207,$A$4:$A$36))*$B$4:$B$36)</f>
        <v/>
      </c>
      <c r="I207" s="7" t="inlineStr">
        <is>
          <t>Sudan</t>
        </is>
      </c>
      <c r="J207" s="35" t="n">
        <v>0</v>
      </c>
    </row>
    <row r="208">
      <c r="D208" s="13">
        <f>D207+1</f>
        <v/>
      </c>
      <c r="E208" s="19" t="inlineStr">
        <is>
          <t>Svalbard And Jan Mayen Islands</t>
        </is>
      </c>
      <c r="F208" s="21">
        <f t="array" ref="F208">SUMPRODUCT(ISNUMBER(SEARCH(E208,$A$4:$A$36))*$B$4:$B$36)</f>
        <v/>
      </c>
      <c r="I208" s="7" t="inlineStr">
        <is>
          <t>Suriname</t>
        </is>
      </c>
      <c r="J208" s="35" t="n">
        <v>0</v>
      </c>
    </row>
    <row r="209">
      <c r="D209" s="13">
        <f>D208+1</f>
        <v/>
      </c>
      <c r="E209" s="19" t="inlineStr">
        <is>
          <t>Swaziland</t>
        </is>
      </c>
      <c r="F209" s="21">
        <f t="array" ref="F209">SUMPRODUCT(ISNUMBER(SEARCH(E209,$A$4:$A$36))*$B$4:$B$36)</f>
        <v/>
      </c>
      <c r="I209" s="7" t="inlineStr">
        <is>
          <t>Svalbard And Jan Mayen Islands</t>
        </is>
      </c>
      <c r="J209" s="35" t="n">
        <v>0</v>
      </c>
    </row>
    <row r="210">
      <c r="D210" s="13">
        <f>D209+1</f>
        <v/>
      </c>
      <c r="E210" s="19" t="inlineStr">
        <is>
          <t>Sweden</t>
        </is>
      </c>
      <c r="F210" s="21">
        <f t="array" ref="F210">SUMPRODUCT(ISNUMBER(SEARCH(E210,$A$4:$A$36))*$B$4:$B$36)</f>
        <v/>
      </c>
      <c r="I210" s="7" t="inlineStr">
        <is>
          <t>Swaziland</t>
        </is>
      </c>
      <c r="J210" s="35" t="n">
        <v>0</v>
      </c>
    </row>
    <row r="211">
      <c r="D211" s="13">
        <f>D210+1</f>
        <v/>
      </c>
      <c r="E211" s="19" t="inlineStr">
        <is>
          <t>Switzerland</t>
        </is>
      </c>
      <c r="F211" s="21">
        <f t="array" ref="F211">SUMPRODUCT(ISNUMBER(SEARCH(E211,$A$4:$A$36))*$B$4:$B$36)</f>
        <v/>
      </c>
      <c r="I211" s="7" t="inlineStr">
        <is>
          <t>Sweden</t>
        </is>
      </c>
      <c r="J211" s="35" t="n">
        <v>0</v>
      </c>
    </row>
    <row r="212">
      <c r="D212" s="13">
        <f>D211+1</f>
        <v/>
      </c>
      <c r="E212" s="19" t="inlineStr">
        <is>
          <t>Syrian Arab Republic</t>
        </is>
      </c>
      <c r="F212" s="21">
        <f t="array" ref="F212">SUMPRODUCT(ISNUMBER(SEARCH(E212,$A$4:$A$36))*$B$4:$B$36)</f>
        <v/>
      </c>
      <c r="I212" s="7" t="inlineStr">
        <is>
          <t>Switzerland</t>
        </is>
      </c>
      <c r="J212" s="35" t="n">
        <v>0</v>
      </c>
    </row>
    <row r="213">
      <c r="D213" s="13">
        <f>D212+1</f>
        <v/>
      </c>
      <c r="E213" s="19" t="inlineStr">
        <is>
          <t>Taiwan, Province Of China</t>
        </is>
      </c>
      <c r="F213" s="21">
        <f t="array" ref="F213">SUMPRODUCT(ISNUMBER(SEARCH(E213,$A$4:$A$36))*$B$4:$B$36)</f>
        <v/>
      </c>
      <c r="I213" s="7" t="inlineStr">
        <is>
          <t>Syrian Arab Republic</t>
        </is>
      </c>
      <c r="J213" s="35" t="n">
        <v>0</v>
      </c>
    </row>
    <row r="214">
      <c r="D214" s="13">
        <f>D213+1</f>
        <v/>
      </c>
      <c r="E214" s="19" t="inlineStr">
        <is>
          <t>Tajikistan</t>
        </is>
      </c>
      <c r="F214" s="21">
        <f t="array" ref="F214">SUMPRODUCT(ISNUMBER(SEARCH(E214,$A$4:$A$36))*$B$4:$B$36)</f>
        <v/>
      </c>
      <c r="I214" s="7" t="inlineStr">
        <is>
          <t>Taiwan, Province Of China</t>
        </is>
      </c>
      <c r="J214" s="35" t="n">
        <v>0</v>
      </c>
    </row>
    <row r="215">
      <c r="D215" s="13">
        <f>D214+1</f>
        <v/>
      </c>
      <c r="E215" s="19" t="inlineStr">
        <is>
          <t>Tanzania, United Republic Of</t>
        </is>
      </c>
      <c r="F215" s="21">
        <f t="array" ref="F215">SUMPRODUCT(ISNUMBER(SEARCH(E215,$A$4:$A$36))*$B$4:$B$36)</f>
        <v/>
      </c>
      <c r="I215" s="7" t="inlineStr">
        <is>
          <t>Tajikistan</t>
        </is>
      </c>
      <c r="J215" s="35" t="n">
        <v>0</v>
      </c>
    </row>
    <row r="216">
      <c r="D216" s="13">
        <f>D215+1</f>
        <v/>
      </c>
      <c r="E216" s="19" t="inlineStr">
        <is>
          <t>Thailand</t>
        </is>
      </c>
      <c r="F216" s="21">
        <f t="array" ref="F216">SUMPRODUCT(ISNUMBER(SEARCH(E216,$A$4:$A$36))*$B$4:$B$36)</f>
        <v/>
      </c>
      <c r="I216" s="7" t="inlineStr">
        <is>
          <t>Tanzania, United Republic Of</t>
        </is>
      </c>
      <c r="J216" s="35" t="n">
        <v>0</v>
      </c>
    </row>
    <row r="217">
      <c r="D217" s="13">
        <f>D216+1</f>
        <v/>
      </c>
      <c r="E217" s="19" t="inlineStr">
        <is>
          <t>Togo</t>
        </is>
      </c>
      <c r="F217" s="21">
        <f t="array" ref="F217">SUMPRODUCT(ISNUMBER(SEARCH(E217,$A$4:$A$36))*$B$4:$B$36)</f>
        <v/>
      </c>
      <c r="I217" s="7" t="inlineStr">
        <is>
          <t>Thailand</t>
        </is>
      </c>
      <c r="J217" s="35" t="n">
        <v>0</v>
      </c>
    </row>
    <row r="218">
      <c r="D218" s="13">
        <f>D217+1</f>
        <v/>
      </c>
      <c r="E218" s="19" t="inlineStr">
        <is>
          <t>Tokelau</t>
        </is>
      </c>
      <c r="F218" s="21">
        <f t="array" ref="F218">SUMPRODUCT(ISNUMBER(SEARCH(E218,$A$4:$A$36))*$B$4:$B$36)</f>
        <v/>
      </c>
      <c r="I218" s="7" t="inlineStr">
        <is>
          <t>Togo</t>
        </is>
      </c>
      <c r="J218" s="35" t="n">
        <v>0</v>
      </c>
    </row>
    <row r="219">
      <c r="D219" s="13">
        <f>D218+1</f>
        <v/>
      </c>
      <c r="E219" s="19" t="inlineStr">
        <is>
          <t>Tonga</t>
        </is>
      </c>
      <c r="F219" s="21">
        <f t="array" ref="F219">SUMPRODUCT(ISNUMBER(SEARCH(E219,$A$4:$A$36))*$B$4:$B$36)</f>
        <v/>
      </c>
      <c r="I219" s="7" t="inlineStr">
        <is>
          <t>Tokelau</t>
        </is>
      </c>
      <c r="J219" s="35" t="n">
        <v>0</v>
      </c>
    </row>
    <row r="220">
      <c r="D220" s="13">
        <f>D219+1</f>
        <v/>
      </c>
      <c r="E220" s="19" t="inlineStr">
        <is>
          <t>Trinidad And Tobago</t>
        </is>
      </c>
      <c r="F220" s="21">
        <f t="array" ref="F220">SUMPRODUCT(ISNUMBER(SEARCH(E220,$A$4:$A$36))*$B$4:$B$36)</f>
        <v/>
      </c>
      <c r="I220" s="7" t="inlineStr">
        <is>
          <t>Tonga</t>
        </is>
      </c>
      <c r="J220" s="35" t="n">
        <v>0</v>
      </c>
    </row>
    <row r="221">
      <c r="D221" s="13">
        <f>D220+1</f>
        <v/>
      </c>
      <c r="E221" s="19" t="inlineStr">
        <is>
          <t>Tunisia</t>
        </is>
      </c>
      <c r="F221" s="21">
        <f t="array" ref="F221">SUMPRODUCT(ISNUMBER(SEARCH(E221,$A$4:$A$36))*$B$4:$B$36)</f>
        <v/>
      </c>
      <c r="I221" s="7" t="inlineStr">
        <is>
          <t>Trinidad And Tobago</t>
        </is>
      </c>
      <c r="J221" s="35" t="n">
        <v>0</v>
      </c>
    </row>
    <row r="222">
      <c r="D222" s="13">
        <f>D221+1</f>
        <v/>
      </c>
      <c r="E222" s="19" t="inlineStr">
        <is>
          <t>Turkey</t>
        </is>
      </c>
      <c r="F222" s="21">
        <f t="array" ref="F222">SUMPRODUCT(ISNUMBER(SEARCH(E222,$A$4:$A$36))*$B$4:$B$36)</f>
        <v/>
      </c>
      <c r="I222" s="7" t="inlineStr">
        <is>
          <t>Tunisia</t>
        </is>
      </c>
      <c r="J222" s="35" t="n">
        <v>0</v>
      </c>
    </row>
    <row r="223">
      <c r="D223" s="13">
        <f>D222+1</f>
        <v/>
      </c>
      <c r="E223" s="19" t="inlineStr">
        <is>
          <t>Turkmenistan</t>
        </is>
      </c>
      <c r="F223" s="21">
        <f t="array" ref="F223">SUMPRODUCT(ISNUMBER(SEARCH(E223,$A$4:$A$36))*$B$4:$B$36)</f>
        <v/>
      </c>
      <c r="I223" s="7" t="inlineStr">
        <is>
          <t>Turkey</t>
        </is>
      </c>
      <c r="J223" s="35" t="n">
        <v>0</v>
      </c>
    </row>
    <row r="224">
      <c r="D224" s="13">
        <f>D223+1</f>
        <v/>
      </c>
      <c r="E224" s="19" t="inlineStr">
        <is>
          <t>Turks And Caicos Islands</t>
        </is>
      </c>
      <c r="F224" s="21">
        <f t="array" ref="F224">SUMPRODUCT(ISNUMBER(SEARCH(E224,$A$4:$A$36))*$B$4:$B$36)</f>
        <v/>
      </c>
      <c r="I224" s="7" t="inlineStr">
        <is>
          <t>Turkmenistan</t>
        </is>
      </c>
      <c r="J224" s="35" t="n">
        <v>0</v>
      </c>
    </row>
    <row r="225">
      <c r="D225" s="13">
        <f>D224+1</f>
        <v/>
      </c>
      <c r="E225" s="19" t="inlineStr">
        <is>
          <t>Tuvalu</t>
        </is>
      </c>
      <c r="F225" s="21">
        <f t="array" ref="F225">SUMPRODUCT(ISNUMBER(SEARCH(E225,$A$4:$A$36))*$B$4:$B$36)</f>
        <v/>
      </c>
      <c r="I225" s="7" t="inlineStr">
        <is>
          <t>Turks And Caicos Islands</t>
        </is>
      </c>
      <c r="J225" s="35" t="n">
        <v>0</v>
      </c>
    </row>
    <row r="226">
      <c r="D226" s="13">
        <f>D225+1</f>
        <v/>
      </c>
      <c r="E226" s="19" t="inlineStr">
        <is>
          <t>Uganda</t>
        </is>
      </c>
      <c r="F226" s="21">
        <f t="array" ref="F226">SUMPRODUCT(ISNUMBER(SEARCH(E226,$A$4:$A$36))*$B$4:$B$36)</f>
        <v/>
      </c>
      <c r="I226" s="7" t="inlineStr">
        <is>
          <t>Tuvalu</t>
        </is>
      </c>
      <c r="J226" s="35" t="n">
        <v>0</v>
      </c>
    </row>
    <row r="227">
      <c r="D227" s="13">
        <f>D226+1</f>
        <v/>
      </c>
      <c r="E227" s="19" t="inlineStr">
        <is>
          <t>Ukraine</t>
        </is>
      </c>
      <c r="F227" s="21">
        <f t="array" ref="F227">SUMPRODUCT(ISNUMBER(SEARCH(E227,$A$4:$A$36))*$B$4:$B$36)</f>
        <v/>
      </c>
      <c r="I227" s="7" t="inlineStr">
        <is>
          <t>Uganda</t>
        </is>
      </c>
      <c r="J227" s="35" t="n">
        <v>0</v>
      </c>
    </row>
    <row r="228">
      <c r="D228" s="13">
        <f>D227+1</f>
        <v/>
      </c>
      <c r="E228" s="19" t="inlineStr">
        <is>
          <t>United Arab Emirates</t>
        </is>
      </c>
      <c r="F228" s="21">
        <f t="array" ref="F228">SUMPRODUCT(ISNUMBER(SEARCH(E228,$A$4:$A$36))*$B$4:$B$36)</f>
        <v/>
      </c>
      <c r="I228" s="7" t="inlineStr">
        <is>
          <t>Ukraine</t>
        </is>
      </c>
      <c r="J228" s="35" t="n">
        <v>0</v>
      </c>
    </row>
    <row r="229">
      <c r="D229" s="13">
        <f>D228+1</f>
        <v/>
      </c>
      <c r="E229" s="19" t="inlineStr">
        <is>
          <t>United Kingdom</t>
        </is>
      </c>
      <c r="F229" s="21">
        <f t="array" ref="F229">SUMPRODUCT(ISNUMBER(SEARCH(E229,$A$4:$A$36))*$B$4:$B$36)</f>
        <v/>
      </c>
      <c r="I229" s="7" t="inlineStr">
        <is>
          <t>United Arab Emirates</t>
        </is>
      </c>
      <c r="J229" s="35" t="n">
        <v>0</v>
      </c>
    </row>
    <row r="230">
      <c r="D230" s="13">
        <f>D229+1</f>
        <v/>
      </c>
      <c r="E230" s="19" t="inlineStr">
        <is>
          <t>United States</t>
        </is>
      </c>
      <c r="F230" s="21">
        <f t="array" ref="F230">SUMPRODUCT(ISNUMBER(SEARCH(E230,$A$4:$A$36))*$B$4:$B$36)</f>
        <v/>
      </c>
      <c r="I230" s="7" t="inlineStr">
        <is>
          <t>United States</t>
        </is>
      </c>
      <c r="J230" s="35" t="n">
        <v>0</v>
      </c>
    </row>
    <row r="231">
      <c r="D231" s="13">
        <f>D230+1</f>
        <v/>
      </c>
      <c r="E231" s="19" t="inlineStr">
        <is>
          <t>U.S. Minor Islands</t>
        </is>
      </c>
      <c r="F231" s="21">
        <f t="array" ref="F231">SUMPRODUCT(ISNUMBER(SEARCH(E231,$A$4:$A$36))*$B$4:$B$36)</f>
        <v/>
      </c>
      <c r="I231" s="7" t="inlineStr">
        <is>
          <t>U.S. Minor Islands</t>
        </is>
      </c>
      <c r="J231" s="35" t="n">
        <v>0</v>
      </c>
    </row>
    <row r="232">
      <c r="D232" s="13">
        <f>D231+1</f>
        <v/>
      </c>
      <c r="E232" s="19" t="inlineStr">
        <is>
          <t>Uruguay</t>
        </is>
      </c>
      <c r="F232" s="21">
        <f t="array" ref="F232">SUMPRODUCT(ISNUMBER(SEARCH(E232,$A$4:$A$36))*$B$4:$B$36)</f>
        <v/>
      </c>
      <c r="I232" s="7" t="inlineStr">
        <is>
          <t>Uruguay</t>
        </is>
      </c>
      <c r="J232" s="35" t="n">
        <v>0</v>
      </c>
    </row>
    <row r="233">
      <c r="D233" s="13">
        <f>D232+1</f>
        <v/>
      </c>
      <c r="E233" s="19" t="inlineStr">
        <is>
          <t>Uzbekistan</t>
        </is>
      </c>
      <c r="F233" s="21">
        <f t="array" ref="F233">SUMPRODUCT(ISNUMBER(SEARCH(E233,$A$4:$A$36))*$B$4:$B$36)</f>
        <v/>
      </c>
      <c r="I233" s="7" t="inlineStr">
        <is>
          <t>Uzbekistan</t>
        </is>
      </c>
      <c r="J233" s="35" t="n">
        <v>0</v>
      </c>
    </row>
    <row r="234">
      <c r="D234" s="13">
        <f>D233+1</f>
        <v/>
      </c>
      <c r="E234" s="19" t="inlineStr">
        <is>
          <t>Vanuatu</t>
        </is>
      </c>
      <c r="F234" s="21">
        <f t="array" ref="F234">SUMPRODUCT(ISNUMBER(SEARCH(E234,$A$4:$A$36))*$B$4:$B$36)</f>
        <v/>
      </c>
      <c r="I234" s="7" t="inlineStr">
        <is>
          <t>Vanuatu</t>
        </is>
      </c>
      <c r="J234" s="35" t="n">
        <v>0</v>
      </c>
    </row>
    <row r="235">
      <c r="D235" s="13">
        <f>D234+1</f>
        <v/>
      </c>
      <c r="E235" s="19" t="inlineStr">
        <is>
          <t>Venezuela</t>
        </is>
      </c>
      <c r="F235" s="21">
        <f t="array" ref="F235">SUMPRODUCT(ISNUMBER(SEARCH(E235,$A$4:$A$36))*$B$4:$B$36)</f>
        <v/>
      </c>
      <c r="I235" s="7" t="inlineStr">
        <is>
          <t>Venezuela</t>
        </is>
      </c>
      <c r="J235" s="35" t="n">
        <v>0</v>
      </c>
    </row>
    <row r="236">
      <c r="D236" s="13">
        <f>D235+1</f>
        <v/>
      </c>
      <c r="E236" s="19" t="inlineStr">
        <is>
          <t>VietNam</t>
        </is>
      </c>
      <c r="F236" s="21">
        <f t="array" ref="F236">SUMPRODUCT(ISNUMBER(SEARCH(E236,$A$4:$A$36))*$B$4:$B$36)</f>
        <v/>
      </c>
      <c r="I236" s="7" t="inlineStr">
        <is>
          <t>VietNam</t>
        </is>
      </c>
      <c r="J236" s="35" t="n">
        <v>0</v>
      </c>
    </row>
    <row r="237">
      <c r="D237" s="13">
        <f>D236+1</f>
        <v/>
      </c>
      <c r="E237" s="19" t="inlineStr">
        <is>
          <t>Virgin Islands (British)</t>
        </is>
      </c>
      <c r="F237" s="21">
        <f t="array" ref="F237">SUMPRODUCT(ISNUMBER(SEARCH(E237,$A$4:$A$36))*$B$4:$B$36)</f>
        <v/>
      </c>
      <c r="I237" s="7" t="inlineStr">
        <is>
          <t>Virgin Islands (British)</t>
        </is>
      </c>
      <c r="J237" s="35" t="n">
        <v>0</v>
      </c>
    </row>
    <row r="238">
      <c r="D238" s="13">
        <f>D237+1</f>
        <v/>
      </c>
      <c r="E238" s="19" t="inlineStr">
        <is>
          <t>Virgin Islands (U.S.)</t>
        </is>
      </c>
      <c r="F238" s="21">
        <f t="array" ref="F238">SUMPRODUCT(ISNUMBER(SEARCH(E238,$A$4:$A$36))*$B$4:$B$36)</f>
        <v/>
      </c>
      <c r="I238" s="7" t="inlineStr">
        <is>
          <t>Virgin Islands (U.S.)</t>
        </is>
      </c>
      <c r="J238" s="35" t="n">
        <v>0</v>
      </c>
    </row>
    <row r="239">
      <c r="D239" s="13">
        <f>D238+1</f>
        <v/>
      </c>
      <c r="E239" s="19" t="inlineStr">
        <is>
          <t>Wallis And Futuna Islands</t>
        </is>
      </c>
      <c r="F239" s="21">
        <f t="array" ref="F239">SUMPRODUCT(ISNUMBER(SEARCH(E239,$A$4:$A$36))*$B$4:$B$36)</f>
        <v/>
      </c>
      <c r="I239" s="7" t="inlineStr">
        <is>
          <t>Wallis And Futuna Islands</t>
        </is>
      </c>
      <c r="J239" s="35" t="n">
        <v>0</v>
      </c>
    </row>
    <row r="240">
      <c r="D240" s="13">
        <f>D239+1</f>
        <v/>
      </c>
      <c r="E240" s="19" t="inlineStr">
        <is>
          <t>Western Sahara</t>
        </is>
      </c>
      <c r="F240" s="21">
        <f t="array" ref="F240">SUMPRODUCT(ISNUMBER(SEARCH(E240,$A$4:$A$36))*$B$4:$B$36)</f>
        <v/>
      </c>
      <c r="I240" s="7" t="inlineStr">
        <is>
          <t>Western Sahara</t>
        </is>
      </c>
      <c r="J240" s="35" t="n">
        <v>0</v>
      </c>
    </row>
    <row r="241">
      <c r="D241" s="13">
        <f>D240+1</f>
        <v/>
      </c>
      <c r="E241" s="19" t="inlineStr">
        <is>
          <t>Yemen</t>
        </is>
      </c>
      <c r="F241" s="21">
        <f t="array" ref="F241">SUMPRODUCT(ISNUMBER(SEARCH(E241,$A$4:$A$36))*$B$4:$B$36)</f>
        <v/>
      </c>
      <c r="I241" s="7" t="inlineStr">
        <is>
          <t>Yemen</t>
        </is>
      </c>
      <c r="J241" s="35" t="n">
        <v>0</v>
      </c>
    </row>
    <row r="242">
      <c r="D242" s="13">
        <f>D241+1</f>
        <v/>
      </c>
      <c r="E242" s="19" t="inlineStr">
        <is>
          <t>Zambia</t>
        </is>
      </c>
      <c r="F242" s="21">
        <f t="array" ref="F242">SUMPRODUCT(ISNUMBER(SEARCH(E242,$A$4:$A$36))*$B$4:$B$36)</f>
        <v/>
      </c>
      <c r="I242" s="7" t="inlineStr">
        <is>
          <t>Zambia</t>
        </is>
      </c>
      <c r="J242" s="35" t="n">
        <v>0</v>
      </c>
    </row>
    <row r="243">
      <c r="D243" s="13">
        <f>D242+1</f>
        <v/>
      </c>
      <c r="E243" s="19" t="inlineStr">
        <is>
          <t xml:space="preserve">Zimbabwe </t>
        </is>
      </c>
      <c r="F243" s="21">
        <f t="array" ref="F243">SUMPRODUCT(ISNUMBER(SEARCH(E243,$A$4:$A$36))*$B$4:$B$36)</f>
        <v/>
      </c>
      <c r="I243" s="7" t="inlineStr">
        <is>
          <t xml:space="preserve">Zimbabwe </t>
        </is>
      </c>
      <c r="J243" s="35" t="n">
        <v>0</v>
      </c>
    </row>
    <row r="244">
      <c r="D244" s="13">
        <f>D243+1</f>
        <v/>
      </c>
      <c r="E244" s="19" t="inlineStr">
        <is>
          <t>Other</t>
        </is>
      </c>
      <c r="F244" s="21">
        <f t="array" ref="F244">SUMPRODUCT(ISNUMBER(SEARCH(E244,$A$4:$A$36))*$B$4:$B$36)</f>
        <v/>
      </c>
      <c r="I244" s="7" t="inlineStr">
        <is>
          <t>Other</t>
        </is>
      </c>
      <c r="J244" s="35" t="n">
        <v>0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Nicolas Ishkanian</dc:creator>
  <dcterms:created xmlns:dcterms="http://purl.org/dc/terms/" xmlns:xsi="http://www.w3.org/2001/XMLSchema-instance" xsi:type="dcterms:W3CDTF">2023-03-16T01:39:00Z</dcterms:created>
  <dcterms:modified xmlns:dcterms="http://purl.org/dc/terms/" xmlns:xsi="http://www.w3.org/2001/XMLSchema-instance" xsi:type="dcterms:W3CDTF">2026-09-06T06:01:59Z</dcterms:modified>
  <cp:lastModifiedBy>Funtin Martin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AE45C9248B2D4418AED578B899DFD162_13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